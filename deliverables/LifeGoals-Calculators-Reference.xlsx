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B1:H11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6"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6"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6"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6"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6"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6"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6"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6"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6"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6"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7"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6"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6"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6"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6"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6"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6"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6"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6"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6"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6"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6"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6"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6"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6"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78"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78"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6"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6"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6"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6"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6"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6"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6"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6"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6"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6"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6"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6"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6"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6"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6"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6"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6"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6"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6"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6"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6"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6"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6"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78"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6"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6"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6"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6"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78"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6"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6"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6"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6"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6"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6"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6"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6"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6"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6"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6"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7"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7"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6"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6"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78"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6"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6"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6"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6"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6"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7"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7"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6"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6"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6"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6"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6"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6"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6"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6"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6"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6"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6"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6"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6"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6"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6"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6"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6"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6"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6"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6"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6"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6"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6"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6"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6"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6"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6"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6"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79" t="inlineStr">
        <is>
          <t>Document reader spec (for the developer building extraction)</t>
        </is>
      </c>
    </row>
    <row r="3" ht="15" customHeight="1" s="171">
      <c r="B3" s="180" t="inlineStr">
        <is>
          <t>• Precedence: statement figure &gt; typed figure (as in the prototype: S.src doc &gt; typed). A figure the customer has not given is Missing; nothing is estimated for them. The calculators show this in their FIGURE USED box.</t>
        </is>
      </c>
    </row>
    <row r="4" ht="15" customHeight="1" s="171">
      <c r="B4" s="180" t="inlineStr">
        <is>
          <t>• Confidence: each extracted field carries a confidence. Below 80% (Assumptions › Reader_Confidence_Min) ask the customer to confirm the figure before it is used.</t>
        </is>
      </c>
    </row>
    <row r="5" ht="15" customHeight="1" s="171">
      <c r="B5" s="180" t="inlineStr">
        <is>
          <t>• Freshness: a statement dated more than 12 months ago (Assumptions › Statement_Max_Age_Days) is used but flagged "Needs a look".</t>
        </is>
      </c>
    </row>
    <row r="6" ht="15" customHeight="1" s="171">
      <c r="B6" s="180" t="inlineStr">
        <is>
          <t>• Optional fields (projection, charges, holdings) apply only when shown on the document; a field that is not shown stays blank, it is never defaulted from the document.</t>
        </is>
      </c>
    </row>
    <row r="7" ht="15" customHeight="1" s="171">
      <c r="B7" s="180" t="inlineStr">
        <is>
          <t>• Convert to the calculator unit: yearly amounts to monthly (÷ 12), dates to ages, months to years, % as fractions.</t>
        </is>
      </c>
    </row>
    <row r="8" ht="15" customHeight="1" s="171">
      <c r="B8" s="180" t="inlineStr">
        <is>
          <t>• Label wording varies by provider: match on the variants below and on position (e.g. a € figure next to "fund value"). Wording marked "verify" was not confirmed against an official template.</t>
        </is>
      </c>
    </row>
    <row r="10" ht="23.25" customHeight="1" s="171">
      <c r="B10" s="181" t="inlineStr">
        <is>
          <t>Document</t>
        </is>
      </c>
      <c r="C10" s="181" t="inlineStr">
        <is>
          <t>Field to extract</t>
        </is>
      </c>
      <c r="D10" s="181" t="inlineStr">
        <is>
          <t>Typical label wording (variants)</t>
        </is>
      </c>
      <c r="E10" s="181" t="inlineStr">
        <is>
          <t>Data type and validation</t>
        </is>
      </c>
      <c r="F10" s="181" t="inlineStr">
        <is>
          <t>Feeds (calculator inputs / plan fields)</t>
        </is>
      </c>
      <c r="G10" s="181" t="inlineStr">
        <is>
          <t>Confidence to auto-use</t>
        </is>
      </c>
    </row>
    <row r="11" ht="36" customHeight="1" s="171">
      <c r="B11" s="182" t="inlineStr">
        <is>
          <t>Pension benefit statement (occupational DC, from 2023/24) / Statement of Reasonable Projection (PRSA, older DC)</t>
        </is>
      </c>
      <c r="C11" s="183" t="inlineStr">
        <is>
          <t>Fund value today</t>
        </is>
      </c>
      <c r="D11" s="183" t="inlineStr">
        <is>
          <t>"Current fund value", "Value of your fund", "Total fund value", "Transfer value" (DB / deferred)</t>
        </is>
      </c>
      <c r="E11" s="183" t="inlineStr">
        <is>
          <t>€ number ≥ 0; &lt; €50m</t>
        </is>
      </c>
      <c r="F11" s="183" t="inlineStr">
        <is>
          <t>C12 Pension value today; C15/C16 savings (if no projection); C24 Pensions; plan: pension</t>
        </is>
      </c>
      <c r="G11" s="183" t="inlineStr">
        <is>
          <t>≥ 80%</t>
        </is>
      </c>
    </row>
    <row r="12" ht="36" customHeight="1" s="171">
      <c r="B12" s="182" t="n"/>
      <c r="C12" s="183" t="inlineStr">
        <is>
          <t>Your contribution</t>
        </is>
      </c>
      <c r="D12" s="183" t="inlineStr">
        <is>
          <t>"Your contributions", "Member contributions", "Employee contributions" (yearly or monthly: convert to monthly)</t>
        </is>
      </c>
      <c r="E12" s="183" t="inlineStr">
        <is>
          <t>€ ≥ 0; flag if &gt; 50% of income</t>
        </is>
      </c>
      <c r="F12" s="183" t="inlineStr">
        <is>
          <t>C12 monthly contributions (with employer); plan: pensionM</t>
        </is>
      </c>
      <c r="G12" s="183" t="inlineStr">
        <is>
          <t>≥ 80%</t>
        </is>
      </c>
    </row>
    <row r="13" ht="24" customHeight="1" s="171">
      <c r="B13" s="182" t="n"/>
      <c r="C13" s="183" t="inlineStr">
        <is>
          <t>Employer contribution</t>
        </is>
      </c>
      <c r="D13" s="183" t="inlineStr">
        <is>
          <t>"Employer contributions", "Company contributions"</t>
        </is>
      </c>
      <c r="E13" s="183" t="inlineStr">
        <is>
          <t>€ ≥ 0</t>
        </is>
      </c>
      <c r="F13" s="183" t="inlineStr">
        <is>
          <t>C12 monthly contributions; plan: pensionM</t>
        </is>
      </c>
      <c r="G13" s="183" t="inlineStr">
        <is>
          <t>≥ 80%</t>
        </is>
      </c>
    </row>
    <row r="14" ht="24" customHeight="1" s="171">
      <c r="B14" s="182" t="n"/>
      <c r="C14" s="183" t="inlineStr">
        <is>
          <t>Normal retirement age</t>
        </is>
      </c>
      <c r="D14" s="183" t="inlineStr">
        <is>
          <t>"Normal retirement age", "Normal retirement date" (convert date to age), "Retirement age"</t>
        </is>
      </c>
      <c r="E14" s="183" t="inlineStr">
        <is>
          <t>whole number 50–75</t>
        </is>
      </c>
      <c r="F14" s="183" t="inlineStr">
        <is>
          <t>C12 projection match; C13/C14 years to retirement (with age)</t>
        </is>
      </c>
      <c r="G14" s="183" t="inlineStr">
        <is>
          <t>≥ 80%</t>
        </is>
      </c>
    </row>
    <row r="15" ht="60" customHeight="1" s="171">
      <c r="B15" s="182" t="n"/>
      <c r="C15" s="183" t="inlineStr">
        <is>
          <t>Projected fund at retirement</t>
        </is>
      </c>
      <c r="D15" s="183" t="inlineStr">
        <is>
          <t>"Projected fund at normal retirement date", "Projected retirement fund", "Estimated fund value at retirement", "Best estimate" (pension benefit statements also show an "unfavourable" scenario: use best estimate)</t>
        </is>
      </c>
      <c r="E15" s="183" t="inlineStr">
        <is>
          <t>€ ≥ 0</t>
        </is>
      </c>
      <c r="F15" s="183" t="inlineStr">
        <is>
          <t>C12 projected fund (if age matches); C15/C16 retirement savings</t>
        </is>
      </c>
      <c r="G15" s="183" t="inlineStr">
        <is>
          <t>≥ 80%</t>
        </is>
      </c>
    </row>
    <row r="16" ht="36" customHeight="1" s="171">
      <c r="B16" s="182" t="n"/>
      <c r="C16" s="183" t="inlineStr">
        <is>
          <t>Projection in today's money?</t>
        </is>
      </c>
      <c r="D16" s="183" t="inlineStr">
        <is>
          <t>Text near the projection: "in today's terms", "in today's money", "adjusted for inflation" = Yes; "in money terms" = No</t>
        </is>
      </c>
      <c r="E16" s="183" t="inlineStr">
        <is>
          <t>Yes / No / blank</t>
        </is>
      </c>
      <c r="F16" s="183" t="inlineStr">
        <is>
          <t>C12: deflate only if No</t>
        </is>
      </c>
      <c r="G16" s="183" t="inlineStr">
        <is>
          <t>≥ 80%</t>
        </is>
      </c>
    </row>
    <row r="17" ht="24" customHeight="1" s="171">
      <c r="B17" s="182" t="n"/>
      <c r="C17" s="183" t="inlineStr">
        <is>
          <t>Assumed growth rate</t>
        </is>
      </c>
      <c r="D17" s="183" t="inlineStr">
        <is>
          <t>"Assumed growth rate", "Assumed investment return", "Projection rate"</t>
        </is>
      </c>
      <c r="E17" s="183" t="inlineStr">
        <is>
          <t>% 0–10</t>
        </is>
      </c>
      <c r="F17" s="183" t="inlineStr">
        <is>
          <t>Information only (shown to the adviser); not used</t>
        </is>
      </c>
      <c r="G17" s="183" t="inlineStr">
        <is>
          <t>≥ 80%</t>
        </is>
      </c>
    </row>
    <row r="18" ht="24" customHeight="1" s="171">
      <c r="B18" s="182" t="n"/>
      <c r="C18" s="183" t="inlineStr">
        <is>
          <t>Annual charges</t>
        </is>
      </c>
      <c r="D18" s="183" t="inlineStr">
        <is>
          <t>"Annual management charge", "Total annual charges", "Fund charges", "Charges deducted"</t>
        </is>
      </c>
      <c r="E18" s="183" t="inlineStr">
        <is>
          <t>% 0–5; apply only if shown</t>
        </is>
      </c>
      <c r="F18" s="183" t="inlineStr">
        <is>
          <t>C12–C14 growth (set rate + 1% − charges); plan: penChg</t>
        </is>
      </c>
      <c r="G18" s="183" t="inlineStr">
        <is>
          <t>≥ 80%</t>
        </is>
      </c>
    </row>
    <row r="19" ht="24" customHeight="1" s="171">
      <c r="B19" s="182" t="n"/>
      <c r="C19" s="183" t="inlineStr">
        <is>
          <t>Statement date</t>
        </is>
      </c>
      <c r="D19" s="183" t="inlineStr">
        <is>
          <t>"Statement date", "As at", "Valuation date"</t>
        </is>
      </c>
      <c r="E19" s="183" t="inlineStr">
        <is>
          <t>date; older than 12 months → "Needs a look"</t>
        </is>
      </c>
      <c r="F19" s="183" t="inlineStr">
        <is>
          <t>All pension tools (date check)</t>
        </is>
      </c>
      <c r="G19" s="183" t="inlineStr">
        <is>
          <t>≥ 80%</t>
        </is>
      </c>
    </row>
    <row r="20" ht="36" customHeight="1" s="171">
      <c r="B20" s="182" t="inlineStr">
        <is>
          <t>PRSA statement</t>
        </is>
      </c>
      <c r="C20" s="183" t="inlineStr">
        <is>
          <t>As the pension benefit statement</t>
        </is>
      </c>
      <c r="D20" s="183" t="inlineStr">
        <is>
          <t>Providers show "PRSA value", "Current value", "Contributions this year", "Projected value at retirement"</t>
        </is>
      </c>
      <c r="E20" s="183" t="inlineStr">
        <is>
          <t>as above</t>
        </is>
      </c>
      <c r="F20" s="183" t="inlineStr">
        <is>
          <t>as above</t>
        </is>
      </c>
      <c r="G20" s="183" t="inlineStr">
        <is>
          <t>≥ 80%</t>
        </is>
      </c>
    </row>
    <row r="21" ht="24" customHeight="1" s="171">
      <c r="B21" s="182" t="inlineStr">
        <is>
          <t>Occupational scheme benefit statement (defined benefit)</t>
        </is>
      </c>
      <c r="C21" s="183" t="inlineStr">
        <is>
          <t>Pension at normal retirement date</t>
        </is>
      </c>
      <c r="D21" s="183" t="inlineStr">
        <is>
          <t>"Pension payable at normal retirement date", "Accrued pension", "Prospective pension"</t>
        </is>
      </c>
      <c r="E21" s="183" t="inlineStr">
        <is>
          <t>€ a year ≥ 0</t>
        </is>
      </c>
      <c r="F21" s="183" t="inlineStr">
        <is>
          <t>Plan: retirement income (DB); not used by C12, which is DC (verify product scope)</t>
        </is>
      </c>
      <c r="G21" s="183" t="inlineStr">
        <is>
          <t>≥ 80%</t>
        </is>
      </c>
    </row>
    <row r="22" ht="24" customHeight="1" s="171">
      <c r="B22" s="182" t="n"/>
      <c r="C22" s="183" t="inlineStr">
        <is>
          <t>Normal retirement age</t>
        </is>
      </c>
      <c r="D22" s="183" t="inlineStr">
        <is>
          <t>as above</t>
        </is>
      </c>
      <c r="E22" s="183" t="inlineStr">
        <is>
          <t>whole 50–75</t>
        </is>
      </c>
      <c r="F22" s="183" t="inlineStr">
        <is>
          <t>Plan: retirement age</t>
        </is>
      </c>
      <c r="G22" s="183" t="inlineStr">
        <is>
          <t>≥ 80%</t>
        </is>
      </c>
    </row>
    <row r="23" ht="36" customHeight="1" s="171">
      <c r="B23" s="182" t="inlineStr">
        <is>
          <t>State Pension record (MyWelfare contribution statement)</t>
        </is>
      </c>
      <c r="C23" s="183" t="inlineStr">
        <is>
          <t>PRSI paid and credited contributions</t>
        </is>
      </c>
      <c r="D23" s="183" t="inlineStr">
        <is>
          <t>"Paid contributions", "Credited contributions", "Reckonable credited contributions" (by year)</t>
        </is>
      </c>
      <c r="E23" s="183" t="inlineStr">
        <is>
          <t>whole numbers ≥ 0; years = contributions ÷ 52</t>
        </is>
      </c>
      <c r="F23" s="183" t="inlineStr">
        <is>
          <t>C12 other income (entitlement: 40+ years full, 10–39 partly); plan: sp. Not a forecast of the pension.</t>
        </is>
      </c>
      <c r="G23" s="183" t="inlineStr">
        <is>
          <t>≥ 80%</t>
        </is>
      </c>
    </row>
    <row r="24" ht="24" customHeight="1" s="171">
      <c r="B24" s="182" t="n"/>
      <c r="C24" s="183" t="inlineStr">
        <is>
          <t>Statement date</t>
        </is>
      </c>
      <c r="D24" s="183" t="inlineStr">
        <is>
          <t>"Statement date", "up to the end of the tax year"</t>
        </is>
      </c>
      <c r="E24" s="183" t="inlineStr">
        <is>
          <t>date</t>
        </is>
      </c>
      <c r="F24" s="183" t="inlineStr">
        <is>
          <t>Date check</t>
        </is>
      </c>
      <c r="G24" s="183" t="inlineStr">
        <is>
          <t>≥ 80%</t>
        </is>
      </c>
    </row>
    <row r="25" ht="24" customHeight="1" s="171">
      <c r="B25" s="182" t="inlineStr">
        <is>
          <t>Mortgage statement (annual statement of account, Consumer Protection Code)</t>
        </is>
      </c>
      <c r="C25" s="183" t="inlineStr">
        <is>
          <t>Outstanding balance</t>
        </is>
      </c>
      <c r="D25" s="183" t="inlineStr">
        <is>
          <t>"Outstanding balance", "Balance outstanding", "Closing balance", "Amount outstanding"</t>
        </is>
      </c>
      <c r="E25" s="183" t="inlineStr">
        <is>
          <t>€ ≥ 0; &lt; €10m</t>
        </is>
      </c>
      <c r="F25" s="183" t="inlineStr">
        <is>
          <t>C02, C04, C05, C06, C21, C23 balance; C24 mortgage; plan: mortBal</t>
        </is>
      </c>
      <c r="G25" s="183" t="inlineStr">
        <is>
          <t>≥ 80%</t>
        </is>
      </c>
    </row>
    <row r="26" ht="24" customHeight="1" s="171">
      <c r="B26" s="182" t="n"/>
      <c r="C26" s="183" t="inlineStr">
        <is>
          <t>Interest rate</t>
        </is>
      </c>
      <c r="D26" s="183" t="inlineStr">
        <is>
          <t>"Interest rate", "Current rate", "Rate applied", "Variable rate", "Fixed rate until …"</t>
        </is>
      </c>
      <c r="E26" s="183" t="inlineStr">
        <is>
          <t>% 0–15</t>
        </is>
      </c>
      <c r="F26" s="183" t="inlineStr">
        <is>
          <t>C02, C04, C05, C06, C23 rate; plan: mortRate</t>
        </is>
      </c>
      <c r="G26" s="183" t="inlineStr">
        <is>
          <t>≥ 80%</t>
        </is>
      </c>
    </row>
    <row r="27" ht="24" customHeight="1" s="171">
      <c r="B27" s="182" t="n"/>
      <c r="C27" s="183" t="inlineStr">
        <is>
          <t>Rate type and fixed-rate end date</t>
        </is>
      </c>
      <c r="D27" s="183" t="inlineStr">
        <is>
          <t>"Fixed until", "Tracker", "Standard variable"</t>
        </is>
      </c>
      <c r="E27" s="183" t="inlineStr">
        <is>
          <t>text; date</t>
        </is>
      </c>
      <c r="F27" s="183" t="inlineStr">
        <is>
          <t>Information for the adviser (C05 context)</t>
        </is>
      </c>
      <c r="G27" s="183" t="inlineStr">
        <is>
          <t>≥ 80%</t>
        </is>
      </c>
    </row>
    <row r="28" ht="24" customHeight="1" s="171">
      <c r="B28" s="182" t="n"/>
      <c r="C28" s="183" t="inlineStr">
        <is>
          <t>Term remaining</t>
        </is>
      </c>
      <c r="D28" s="183" t="inlineStr">
        <is>
          <t>"Remaining term", "Term remaining", "Years remaining", "Maturity date" (convert)</t>
        </is>
      </c>
      <c r="E28" s="183" t="inlineStr">
        <is>
          <t>whole years 0–40</t>
        </is>
      </c>
      <c r="F28" s="183" t="inlineStr">
        <is>
          <t>C02, C04, C05, C06, C23 term; plan: mortYears</t>
        </is>
      </c>
      <c r="G28" s="183" t="inlineStr">
        <is>
          <t>≥ 80%</t>
        </is>
      </c>
    </row>
    <row r="29" ht="24" customHeight="1" s="171">
      <c r="B29" s="182" t="n"/>
      <c r="C29" s="183" t="inlineStr">
        <is>
          <t>Monthly repayment</t>
        </is>
      </c>
      <c r="D29" s="183" t="inlineStr">
        <is>
          <t>"Monthly repayment", "Monthly instalment", "Repayment amount"</t>
        </is>
      </c>
      <c r="E29" s="183" t="inlineStr">
        <is>
          <t>€ ≥ 0</t>
        </is>
      </c>
      <c r="F29" s="183" t="inlineStr">
        <is>
          <t>C02, C04, C05, C23 actual repayment; plan: mortPayM</t>
        </is>
      </c>
      <c r="G29" s="183" t="inlineStr">
        <is>
          <t>≥ 80%</t>
        </is>
      </c>
    </row>
    <row r="30" ht="24" customHeight="1" s="171">
      <c r="B30" s="182" t="n"/>
      <c r="C30" s="183" t="inlineStr">
        <is>
          <t>Statement date</t>
        </is>
      </c>
      <c r="D30" s="183" t="inlineStr">
        <is>
          <t>"Statement date", "Statement period to"</t>
        </is>
      </c>
      <c r="E30" s="183" t="inlineStr">
        <is>
          <t>date; &gt; 12 months → "Needs a look"</t>
        </is>
      </c>
      <c r="F30" s="183" t="inlineStr">
        <is>
          <t>Date check</t>
        </is>
      </c>
      <c r="G30" s="183" t="inlineStr">
        <is>
          <t>≥ 80%</t>
        </is>
      </c>
    </row>
    <row r="31" ht="24" customHeight="1" s="171">
      <c r="B31" s="182" t="inlineStr">
        <is>
          <t>Mortgage offer letter / loan offer</t>
        </is>
      </c>
      <c r="C31" s="183" t="inlineStr">
        <is>
          <t>Loan amount, rate, term, monthly repayment, APRC</t>
        </is>
      </c>
      <c r="D31" s="183" t="inlineStr">
        <is>
          <t>"Loan amount", "Interest rate", "Term", "Monthly repayment", "APRC"</t>
        </is>
      </c>
      <c r="E31" s="183" t="inlineStr">
        <is>
          <t>as the statement; APRC % 0–15</t>
        </is>
      </c>
      <c r="F31" s="183" t="inlineStr">
        <is>
          <t>As the mortgage statement (before drawdown: C01/C02 comparison)</t>
        </is>
      </c>
      <c r="G31" s="183" t="inlineStr">
        <is>
          <t>≥ 80%</t>
        </is>
      </c>
    </row>
    <row r="32" ht="24" customHeight="1" s="171">
      <c r="B32" s="182" t="inlineStr">
        <is>
          <t>Investment / fund statement (unit-linked policy, fund, brokerage)</t>
        </is>
      </c>
      <c r="C32" s="183" t="inlineStr">
        <is>
          <t>Total value</t>
        </is>
      </c>
      <c r="D32" s="183" t="inlineStr">
        <is>
          <t>"Total value", "Portfolio value", "Policy value", "Market value", "Valuation"</t>
        </is>
      </c>
      <c r="E32" s="183" t="inlineStr">
        <is>
          <t>€ ≥ 0</t>
        </is>
      </c>
      <c r="F32" s="183" t="inlineStr">
        <is>
          <t>C10, C17, C19, C20 amount; C24 investments; plan: invest</t>
        </is>
      </c>
      <c r="G32" s="183" t="inlineStr">
        <is>
          <t>≥ 80%</t>
        </is>
      </c>
    </row>
    <row r="33" ht="24" customHeight="1" s="171">
      <c r="B33" s="182" t="n"/>
      <c r="C33" s="183" t="inlineStr">
        <is>
          <t>Monthly amount invested</t>
        </is>
      </c>
      <c r="D33" s="183" t="inlineStr">
        <is>
          <t>"Regular contribution", "Monthly premium", "Monthly investment"</t>
        </is>
      </c>
      <c r="E33" s="183" t="inlineStr">
        <is>
          <t>€ ≥ 0</t>
        </is>
      </c>
      <c r="F33" s="183" t="inlineStr">
        <is>
          <t>C18 monthly amount</t>
        </is>
      </c>
      <c r="G33" s="183" t="inlineStr">
        <is>
          <t>≥ 80%</t>
        </is>
      </c>
    </row>
    <row r="34" ht="24" customHeight="1" s="171">
      <c r="B34" s="182" t="n"/>
      <c r="C34" s="183" t="inlineStr">
        <is>
          <t>Annual charges</t>
        </is>
      </c>
      <c r="D34" s="183" t="inlineStr">
        <is>
          <t>"Annual management charge (AMC)", "Ongoing charges figure (OCF)", "Total annual charges"</t>
        </is>
      </c>
      <c r="E34" s="183" t="inlineStr">
        <is>
          <t>% 0–5; apply only if shown, else 0 when a statement is present</t>
        </is>
      </c>
      <c r="F34" s="183" t="inlineStr">
        <is>
          <t>C10, C18 fees; C19 fee A</t>
        </is>
      </c>
      <c r="G34" s="183" t="inlineStr">
        <is>
          <t>≥ 80%</t>
        </is>
      </c>
    </row>
    <row r="35" ht="24" customHeight="1" s="171">
      <c r="B35" s="182" t="n"/>
      <c r="C35" s="183" t="inlineStr">
        <is>
          <t>Holdings in shares</t>
        </is>
      </c>
      <c r="D35" s="183" t="inlineStr">
        <is>
          <t>"Asset allocation": "Equities", "Shares"</t>
        </is>
      </c>
      <c r="E35" s="183" t="inlineStr">
        <is>
          <t>% 0–100</t>
        </is>
      </c>
      <c r="F35" s="183" t="inlineStr">
        <is>
          <t>C20 style (≥70% Growth, ≥40% Balanced, else Cautious)</t>
        </is>
      </c>
      <c r="G35" s="183" t="inlineStr">
        <is>
          <t>≥ 80%</t>
        </is>
      </c>
    </row>
    <row r="36" ht="24" customHeight="1" s="171">
      <c r="B36" s="182" t="n"/>
      <c r="C36" s="183" t="inlineStr">
        <is>
          <t>Statement date</t>
        </is>
      </c>
      <c r="D36" s="183" t="inlineStr">
        <is>
          <t>"Valuation date", "As at"</t>
        </is>
      </c>
      <c r="E36" s="183" t="inlineStr">
        <is>
          <t>date</t>
        </is>
      </c>
      <c r="F36" s="183" t="inlineStr">
        <is>
          <t>Date check</t>
        </is>
      </c>
      <c r="G36" s="183" t="inlineStr">
        <is>
          <t>≥ 80%</t>
        </is>
      </c>
    </row>
    <row r="37" ht="24" customHeight="1" s="171">
      <c r="B37" s="182" t="inlineStr">
        <is>
          <t>Share-scheme statement (ESPP / RSU / SAYE)</t>
        </is>
      </c>
      <c r="C37" s="183" t="inlineStr">
        <is>
          <t>Value of vested shares</t>
        </is>
      </c>
      <c r="D37" s="183" t="inlineStr">
        <is>
          <t>"Vested value", "Market value", "Shares held × price"</t>
        </is>
      </c>
      <c r="E37" s="183" t="inlineStr">
        <is>
          <t>€ ≥ 0</t>
        </is>
      </c>
      <c r="F37" s="183" t="inlineStr">
        <is>
          <t>C24 investments; plan: invest (verify treatment of unvested shares)</t>
        </is>
      </c>
      <c r="G37" s="183" t="inlineStr">
        <is>
          <t>≥ 80%</t>
        </is>
      </c>
    </row>
    <row r="38" ht="24" customHeight="1" s="171">
      <c r="B38" s="182" t="n"/>
      <c r="C38" s="183" t="inlineStr">
        <is>
          <t>Unvested / restricted shares</t>
        </is>
      </c>
      <c r="D38" s="183" t="inlineStr">
        <is>
          <t>"Unvested", "Restricted", "Vesting date"</t>
        </is>
      </c>
      <c r="E38" s="183" t="inlineStr">
        <is>
          <t>€; date</t>
        </is>
      </c>
      <c r="F38" s="183" t="inlineStr">
        <is>
          <t>Information only (not counted until vested)</t>
        </is>
      </c>
      <c r="G38" s="183" t="inlineStr">
        <is>
          <t>≥ 80%</t>
        </is>
      </c>
    </row>
    <row r="39" ht="24" customHeight="1" s="171">
      <c r="B39" s="182" t="inlineStr">
        <is>
          <t>Payslip</t>
        </is>
      </c>
      <c r="C39" s="183" t="inlineStr">
        <is>
          <t>Gross pay (period)</t>
        </is>
      </c>
      <c r="D39" s="183" t="inlineStr">
        <is>
          <t>"Gross pay", "Total gross"</t>
        </is>
      </c>
      <c r="E39" s="183" t="inlineStr">
        <is>
          <t>€ ≥ 0; annualise by pay frequency</t>
        </is>
      </c>
      <c r="F39" s="183" t="inlineStr">
        <is>
          <t>C01 income, C13 salary, C21/C22 income; plan: income</t>
        </is>
      </c>
      <c r="G39" s="183" t="inlineStr">
        <is>
          <t>≥ 80%</t>
        </is>
      </c>
    </row>
    <row r="40" ht="24" customHeight="1" s="171">
      <c r="B40" s="182" t="n"/>
      <c r="C40" s="183" t="inlineStr">
        <is>
          <t>Net pay</t>
        </is>
      </c>
      <c r="D40" s="183" t="inlineStr">
        <is>
          <t>"Net pay", "Take home"</t>
        </is>
      </c>
      <c r="E40" s="183" t="inlineStr">
        <is>
          <t>€</t>
        </is>
      </c>
      <c r="F40" s="183" t="inlineStr">
        <is>
          <t>C25, C26 take-home</t>
        </is>
      </c>
      <c r="G40" s="183" t="inlineStr">
        <is>
          <t>≥ 80%</t>
        </is>
      </c>
    </row>
    <row r="41" ht="24" customHeight="1" s="171">
      <c r="B41" s="182" t="n"/>
      <c r="C41" s="183" t="inlineStr">
        <is>
          <t>Pension contribution</t>
        </is>
      </c>
      <c r="D41" s="183" t="inlineStr">
        <is>
          <t>"Pension", "Superannuation", "AVC"</t>
        </is>
      </c>
      <c r="E41" s="183" t="inlineStr">
        <is>
          <t>€</t>
        </is>
      </c>
      <c r="F41" s="183" t="inlineStr">
        <is>
          <t>C12 your contribution; C14 AVC</t>
        </is>
      </c>
      <c r="G41" s="183" t="inlineStr">
        <is>
          <t>≥ 80%</t>
        </is>
      </c>
    </row>
    <row r="42" ht="24" customHeight="1" s="171">
      <c r="B42" s="182" t="n"/>
      <c r="C42" s="183" t="inlineStr">
        <is>
          <t>Pay date</t>
        </is>
      </c>
      <c r="D42" s="183" t="inlineStr">
        <is>
          <t>"Pay date", "Period ending"</t>
        </is>
      </c>
      <c r="E42" s="183" t="inlineStr">
        <is>
          <t>date; &gt; 3 months → "Needs a look"</t>
        </is>
      </c>
      <c r="F42" s="183" t="inlineStr">
        <is>
          <t>Date check</t>
        </is>
      </c>
      <c r="G42" s="183" t="inlineStr">
        <is>
          <t>≥ 80%</t>
        </is>
      </c>
    </row>
    <row r="43" ht="24" customHeight="1" s="171">
      <c r="B43" s="182" t="inlineStr">
        <is>
          <t>Employment Detail Summary (Revenue myAccount; replaced the P60 from 2019)</t>
        </is>
      </c>
      <c r="C43" s="183" t="inlineStr">
        <is>
          <t>Gross pay for the year</t>
        </is>
      </c>
      <c r="D43" s="183" t="inlineStr">
        <is>
          <t>"Gross pay", "Pay for income tax"</t>
        </is>
      </c>
      <c r="E43" s="183" t="inlineStr">
        <is>
          <t>€ ≥ 0</t>
        </is>
      </c>
      <c r="F43" s="183" t="inlineStr">
        <is>
          <t>C01 income, C13 salary, C21/C22 income; plan: income</t>
        </is>
      </c>
      <c r="G43" s="183" t="inlineStr">
        <is>
          <t>≥ 80%</t>
        </is>
      </c>
    </row>
    <row r="44" ht="24" customHeight="1" s="171">
      <c r="B44" s="182" t="n"/>
      <c r="C44" s="183" t="inlineStr">
        <is>
          <t>Income tax, USC, employee PRSI</t>
        </is>
      </c>
      <c r="D44" s="183" t="inlineStr">
        <is>
          <t>"Income tax", "USC", "Employee PRSI"</t>
        </is>
      </c>
      <c r="E44" s="183" t="inlineStr">
        <is>
          <t>€ ≥ 0</t>
        </is>
      </c>
      <c r="F44" s="183" t="inlineStr">
        <is>
          <t>Check of the plan's take-home</t>
        </is>
      </c>
      <c r="G44" s="183" t="inlineStr">
        <is>
          <t>≥ 80%</t>
        </is>
      </c>
    </row>
    <row r="45" ht="24" customHeight="1" s="171">
      <c r="B45" s="182" t="n"/>
      <c r="C45" s="183" t="inlineStr">
        <is>
          <t>Pensionable deductions</t>
        </is>
      </c>
      <c r="D45" s="183" t="inlineStr">
        <is>
          <t>"Pensionable deductions", "Employee pension contribution"</t>
        </is>
      </c>
      <c r="E45" s="183" t="inlineStr">
        <is>
          <t>€</t>
        </is>
      </c>
      <c r="F45" s="183" t="inlineStr">
        <is>
          <t>C12 your contribution (÷ 12)</t>
        </is>
      </c>
      <c r="G45" s="183" t="inlineStr">
        <is>
          <t>≥ 80%</t>
        </is>
      </c>
    </row>
    <row r="46" ht="24" customHeight="1" s="171">
      <c r="B46" s="182" t="n"/>
      <c r="C46" s="183" t="inlineStr">
        <is>
          <t>Tax year</t>
        </is>
      </c>
      <c r="D46" s="183" t="inlineStr">
        <is>
          <t>"Year"</t>
        </is>
      </c>
      <c r="E46" s="183" t="inlineStr">
        <is>
          <t>year; not more than 1 year old</t>
        </is>
      </c>
      <c r="F46" s="183" t="inlineStr">
        <is>
          <t>Date check</t>
        </is>
      </c>
      <c r="G46" s="183" t="inlineStr">
        <is>
          <t>≥ 80%</t>
        </is>
      </c>
    </row>
    <row r="47" ht="24" customHeight="1" s="171">
      <c r="B47" s="182" t="inlineStr">
        <is>
          <t>Credit card statement</t>
        </is>
      </c>
      <c r="C47" s="183" t="inlineStr">
        <is>
          <t>Balance</t>
        </is>
      </c>
      <c r="D47" s="183" t="inlineStr">
        <is>
          <t>"Statement balance", "Closing balance", "New balance"</t>
        </is>
      </c>
      <c r="E47" s="183" t="inlineStr">
        <is>
          <t>€ ≥ 0</t>
        </is>
      </c>
      <c r="F47" s="183" t="inlineStr">
        <is>
          <t>C27 balance; C24 other loans; plan: cardBal</t>
        </is>
      </c>
      <c r="G47" s="183" t="inlineStr">
        <is>
          <t>≥ 80%</t>
        </is>
      </c>
    </row>
    <row r="48" ht="24" customHeight="1" s="171">
      <c r="B48" s="182" t="n"/>
      <c r="C48" s="183" t="inlineStr">
        <is>
          <t>APR / interest rate</t>
        </is>
      </c>
      <c r="D48" s="183" t="inlineStr">
        <is>
          <t>"APR", "Purchase rate", "Annual percentage rate"</t>
        </is>
      </c>
      <c r="E48" s="183" t="inlineStr">
        <is>
          <t>% 0–40 (an effective annual rate)</t>
        </is>
      </c>
      <c r="F48" s="183" t="inlineStr">
        <is>
          <t>C27 APR; plan: cardRate</t>
        </is>
      </c>
      <c r="G48" s="183" t="inlineStr">
        <is>
          <t>≥ 80%</t>
        </is>
      </c>
    </row>
    <row r="49" ht="24" customHeight="1" s="171">
      <c r="B49" s="182" t="n"/>
      <c r="C49" s="183" t="inlineStr">
        <is>
          <t>Minimum / monthly payment</t>
        </is>
      </c>
      <c r="D49" s="183" t="inlineStr">
        <is>
          <t>"Minimum payment", "Payment due"</t>
        </is>
      </c>
      <c r="E49" s="183" t="inlineStr">
        <is>
          <t>€ ≥ 0</t>
        </is>
      </c>
      <c r="F49" s="183" t="inlineStr">
        <is>
          <t>C27 monthly payment; plan: cardPayM</t>
        </is>
      </c>
      <c r="G49" s="183" t="inlineStr">
        <is>
          <t>≥ 80%</t>
        </is>
      </c>
    </row>
    <row r="50" ht="24" customHeight="1" s="171">
      <c r="B50" s="182" t="inlineStr">
        <is>
          <t>Personal loan / car loan statement</t>
        </is>
      </c>
      <c r="C50" s="183" t="inlineStr">
        <is>
          <t>Balance</t>
        </is>
      </c>
      <c r="D50" s="183" t="inlineStr">
        <is>
          <t>"Outstanding balance", "Amount outstanding"</t>
        </is>
      </c>
      <c r="E50" s="183" t="inlineStr">
        <is>
          <t>€ ≥ 0</t>
        </is>
      </c>
      <c r="F50" s="183" t="inlineStr">
        <is>
          <t>C27/C28; C24 other loans; plan: loanBal</t>
        </is>
      </c>
      <c r="G50" s="183" t="inlineStr">
        <is>
          <t>≥ 80%</t>
        </is>
      </c>
    </row>
    <row r="51" ht="24" customHeight="1" s="171">
      <c r="B51" s="182" t="n"/>
      <c r="C51" s="183" t="inlineStr">
        <is>
          <t>APR</t>
        </is>
      </c>
      <c r="D51" s="183" t="inlineStr">
        <is>
          <t>"APR", "Annual percentage rate"</t>
        </is>
      </c>
      <c r="E51" s="183" t="inlineStr">
        <is>
          <t>% 0–30</t>
        </is>
      </c>
      <c r="F51" s="183" t="inlineStr">
        <is>
          <t>C27, C28 APR; plan: loanRate</t>
        </is>
      </c>
      <c r="G51" s="183" t="inlineStr">
        <is>
          <t>≥ 80%</t>
        </is>
      </c>
    </row>
    <row r="52" ht="24" customHeight="1" s="171">
      <c r="B52" s="182" t="n"/>
      <c r="C52" s="183" t="inlineStr">
        <is>
          <t>Monthly repayment, term remaining</t>
        </is>
      </c>
      <c r="D52" s="183" t="inlineStr">
        <is>
          <t>"Monthly repayment", "Remaining term"</t>
        </is>
      </c>
      <c r="E52" s="183" t="inlineStr">
        <is>
          <t>€; months</t>
        </is>
      </c>
      <c r="F52" s="183" t="inlineStr">
        <is>
          <t>C27 payment; C28 years; plan: loanPayM</t>
        </is>
      </c>
      <c r="G52" s="183" t="inlineStr">
        <is>
          <t>≥ 80%</t>
        </is>
      </c>
    </row>
    <row r="54" ht="15" customHeight="1" s="171">
      <c r="B54" s="184" t="inlineStr">
        <is>
          <t>Sources (label wording beyond these is typical provider wording: verify against real samples before release)</t>
        </is>
      </c>
    </row>
    <row r="55" ht="15" customHeight="1" s="171">
      <c r="B55" s="185" t="inlineStr">
        <is>
          <t>Pensions Authority: statement of reasonable projection</t>
        </is>
      </c>
      <c r="D55" s="186" t="inlineStr">
        <is>
          <t>https://pensionsauthority.ie/scheme-members-and-prsa-contributors/understanding-pensions/your_right_to_information/statement_of_reasonable_projection/</t>
        </is>
      </c>
    </row>
    <row r="56" ht="15" customHeight="1" s="171">
      <c r="B56" s="185" t="inlineStr">
        <is>
          <t>Pensions Authority: pension benefit statement projection assumptions (best estimate and unfavourable scenarios)</t>
        </is>
      </c>
      <c r="D56" s="186" t="inlineStr">
        <is>
          <t>https://pensionsauthority.ie/news_press/news_archive/updated-pension-benefit-statement-projection-assumptions/</t>
        </is>
      </c>
    </row>
    <row r="57" ht="15" customHeight="1" s="171">
      <c r="B57" s="185" t="inlineStr">
        <is>
          <t>Central Bank: Consumer Protection Code (annual statement of account: balance, transactions, interest, charges, rate)</t>
        </is>
      </c>
      <c r="D57" s="186" t="inlineStr">
        <is>
          <t>https://www.centralbank.ie/code</t>
        </is>
      </c>
    </row>
    <row r="58" ht="15" customHeight="1" s="171">
      <c r="B58" s="185" t="inlineStr">
        <is>
          <t>Revenue: Employment Detail Summary in myAccount (gross pay, tax, USC, PRSI)</t>
        </is>
      </c>
      <c r="D58" s="186" t="inlineStr">
        <is>
          <t>https://www.revenue.ie/en/corporate/press-office/press-releases/2019/pr-200619-employees-new-facility-view-current-pay-and-tax-details-through-revenue-myaccount.aspx</t>
        </is>
      </c>
    </row>
    <row r="59" ht="15" customHeight="1" s="171">
      <c r="B59" s="185" t="inlineStr">
        <is>
          <t>gov.ie: request a PRSI contribution statement (MyWelfare)</t>
        </is>
      </c>
      <c r="D59" s="186" t="inlineStr">
        <is>
          <t>https://www.gov.ie/en/publication/0fbf7-request-a-contribution-statement</t>
        </is>
      </c>
    </row>
    <row r="60" ht="15" customHeight="1" s="171">
      <c r="B60" s="185" t="inlineStr">
        <is>
          <t>Prototype DOCT (fields, confidence and pre-fills already used)</t>
        </is>
      </c>
      <c r="D60" s="187"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88" t="inlineStr">
        <is>
          <t>Page</t>
        </is>
      </c>
      <c r="C4" s="188" t="inlineStr">
        <is>
          <t>Element</t>
        </is>
      </c>
      <c r="D4" s="188" t="inlineStr">
        <is>
          <t>reportData field</t>
        </is>
      </c>
      <c r="E4" s="188" t="inlineStr">
        <is>
          <t>How it is worked out</t>
        </is>
      </c>
      <c r="F4" s="188" t="inlineStr">
        <is>
          <t>Workbook cells (live)</t>
        </is>
      </c>
      <c r="G4" s="188" t="inlineStr">
        <is>
          <t>Reproduced here?</t>
        </is>
      </c>
      <c r="H4" s="188"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89" t="n">
        <v>0.18</v>
      </c>
    </row>
    <row r="42" ht="15" customHeight="1" s="171">
      <c r="B42" s="170" t="inlineStr">
        <is>
          <t>Rounded to the nearest</t>
        </is>
      </c>
      <c r="D42" s="190" t="n">
        <v>50</v>
      </c>
    </row>
    <row r="43" ht="15" customHeight="1" s="171">
      <c r="B43" s="170" t="inlineStr">
        <is>
          <t>Take-home pay a month (first plan year)</t>
        </is>
      </c>
      <c r="D43" s="191" t="n">
        <v>0</v>
      </c>
    </row>
    <row r="44" ht="15" customHeight="1" s="171">
      <c r="B44" s="170" t="inlineStr">
        <is>
          <t>N: save / pay this much more a month</t>
        </is>
      </c>
      <c r="D44" s="191" t="n">
        <v>50</v>
      </c>
    </row>
    <row r="45" ht="15" customHeight="1" s="171">
      <c r="B45" s="170" t="inlineStr">
        <is>
          <t>N/2: the extra in the last combined row</t>
        </is>
      </c>
      <c r="D45" s="191" t="n">
        <v>25</v>
      </c>
    </row>
    <row r="46" ht="15" customHeight="1" s="171">
      <c r="B46" s="170" t="inlineStr">
        <is>
          <t>Your top tax rate</t>
        </is>
      </c>
      <c r="D46" s="189" t="n">
        <v>0.2</v>
      </c>
    </row>
    <row r="47" ht="15" customHeight="1" s="171">
      <c r="B47" s="170" t="inlineStr">
        <is>
          <t>Pension at the limit: most you can claim relief on, a month (age band share of earnings up to the cap, less what you already pay, rounded down)</t>
        </is>
      </c>
      <c r="D47" s="191" t="n">
        <v>0</v>
      </c>
    </row>
    <row r="48" ht="15" customHeight="1" s="171">
      <c r="B48" s="170" t="inlineStr">
        <is>
          <t>Cost of that after tax relief, a month</t>
        </is>
      </c>
      <c r="D48" s="191" t="n">
        <v>0</v>
      </c>
    </row>
    <row r="49" ht="15" customHeight="1" s="171">
      <c r="B49" s="170" t="inlineStr">
        <is>
          <t>Gross a month for "pay N more after relief": N / (1 - tax rate)</t>
        </is>
      </c>
      <c r="D49" s="191" t="n">
        <v>63</v>
      </c>
    </row>
    <row r="50" ht="15" customHeight="1" s="171">
      <c r="B50" s="170" t="inlineStr">
        <is>
          <t>Gross a month for the combined row's extra: N/2 / (1 - tax rate)</t>
        </is>
      </c>
      <c r="D50" s="191"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2"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3"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4" t="n"/>
    </row>
    <row r="6" ht="81.75" customHeight="1" s="171">
      <c r="B6" s="188" t="inlineStr">
        <is>
          <t>Setting [name]</t>
        </is>
      </c>
      <c r="C6" s="188" t="inlineStr">
        <is>
          <t>Standard (value)</t>
        </is>
      </c>
      <c r="D6" s="188" t="inlineStr">
        <is>
          <t>2nd value / (market rates) partner figure</t>
        </is>
      </c>
      <c r="E6" s="188" t="inlineStr">
        <is>
          <t>3rd value</t>
        </is>
      </c>
      <c r="F6" s="188" t="inlineStr">
        <is>
          <t>Cautious value</t>
        </is>
      </c>
      <c r="G6" s="188" t="inlineStr">
        <is>
          <t>Wording shown to the customer ("by")</t>
        </is>
      </c>
      <c r="H6" s="188" t="inlineStr">
        <is>
          <t>Source</t>
        </is>
      </c>
      <c r="I6" s="188" t="inlineStr">
        <is>
          <t>As at</t>
        </is>
      </c>
      <c r="J6" s="188" t="inlineStr">
        <is>
          <t>Guidance text</t>
        </is>
      </c>
      <c r="K6" s="188" t="inlineStr">
        <is>
          <t>Group / type</t>
        </is>
      </c>
      <c r="L6" s="175" t="inlineStr">
        <is>
          <t>Label shown on calculators</t>
        </is>
      </c>
      <c r="M6" s="175" t="inlineStr">
        <is>
          <t>Figure suggested (partner figure if set, else standard)</t>
        </is>
      </c>
    </row>
    <row r="7" ht="15" customHeight="1" s="171">
      <c r="B7" s="195" t="inlineStr">
        <is>
          <t>Prices &amp; growth</t>
        </is>
      </c>
    </row>
    <row r="8" ht="15" customHeight="1" s="171">
      <c r="B8" s="170" t="inlineStr">
        <is>
          <t>Inflation: prices rise (a year)  [Set_infl]</t>
        </is>
      </c>
      <c r="C8" s="196" t="n">
        <v>0.02</v>
      </c>
      <c r="G8" s="194" t="inlineStr">
        <is>
          <t>the ECB target for the long term</t>
        </is>
      </c>
      <c r="H8" s="193" t="inlineStr">
        <is>
          <t>https://www.bundesbank.de/en/tasks/topics/european-central-bank-updates-monetary-policy-strategy-970824</t>
        </is>
      </c>
      <c r="I8" s="193" t="inlineStr">
        <is>
          <t>2025 strategy</t>
        </is>
      </c>
      <c r="J8" s="193" t="n"/>
      <c r="K8" s="193" t="inlineStr">
        <is>
          <t>Prices &amp; growth · pct</t>
        </is>
      </c>
    </row>
    <row r="9" ht="15" customHeight="1" s="171">
      <c r="B9" s="170" t="inlineStr">
        <is>
          <t>Pay rises (a year)  [Set_wage]</t>
        </is>
      </c>
      <c r="C9" s="196" t="n">
        <v>0.03</v>
      </c>
      <c r="F9" s="196" t="n">
        <v>0.025</v>
      </c>
      <c r="G9" s="194" t="inlineStr">
        <is>
          <t>Irish pay has grown about 3%–4% a year recently (CSO)</t>
        </is>
      </c>
      <c r="H9" s="193" t="inlineStr">
        <is>
          <t>https://www.cso.ie/en/statistics/earnings/</t>
        </is>
      </c>
      <c r="I9" s="193" t="inlineStr">
        <is>
          <t>2026</t>
        </is>
      </c>
      <c r="J9" s="193" t="inlineStr">
        <is>
          <t>Pick lower if your pay is fixed or you expect to work part-time.</t>
        </is>
      </c>
      <c r="K9" s="193" t="inlineStr">
        <is>
          <t>Prices &amp; growth · pct</t>
        </is>
      </c>
    </row>
    <row r="10" ht="15" customHeight="1" s="171">
      <c r="B10" s="170" t="inlineStr">
        <is>
          <t>Cash savings earn (a year, after DIRT)  [Set_cash]</t>
        </is>
      </c>
      <c r="C10" s="196" t="n">
        <v>0.01</v>
      </c>
      <c r="F10" s="196" t="n">
        <v>0.007</v>
      </c>
      <c r="G10" s="194" t="inlineStr">
        <is>
          <t>Irish deposit rates after 33% DIRT</t>
        </is>
      </c>
      <c r="H10" s="193" t="inlineStr">
        <is>
          <t>https://centralbank.ie/statistics/data-and-analysis/credit-and-banking-statistics/retail-interest-rates</t>
        </is>
      </c>
      <c r="I10" s="193" t="inlineStr">
        <is>
          <t>Jun 2026</t>
        </is>
      </c>
      <c r="J10" s="193" t="n"/>
      <c r="K10" s="193" t="inlineStr">
        <is>
          <t>Prices &amp; growth · pct</t>
        </is>
      </c>
    </row>
    <row r="11" ht="15" customHeight="1" s="171">
      <c r="B11" s="170" t="inlineStr">
        <is>
          <t>Investments grow (a year, after charges and tax)  [Set_inv]</t>
        </is>
      </c>
      <c r="C11" s="197" t="n">
        <v>0.026</v>
      </c>
      <c r="F11" s="197" t="n">
        <v>0.019</v>
      </c>
      <c r="G11" s="194" t="inlineStr">
        <is>
          <t>a planning assumption, not a prediction: 5% before fees and tax, less about 1% charges, less 38% exit tax taken every 8 years</t>
        </is>
      </c>
      <c r="H11" s="193" t="inlineStr">
        <is>
          <t>Derived: the growth before fees and tax (above), the charges (Market rates) and the exit tax and 8-year rule (Tax rules)</t>
        </is>
      </c>
      <c r="I11" s="193" t="inlineStr">
        <is>
          <t>2026</t>
        </is>
      </c>
      <c r="J11" s="193" t="inlineStr">
        <is>
          <t>A planning assumption, not a prediction. Growth is never guaranteed and funds can fall in value. It moves if you change the growth before fees and tax, or the charges.</t>
        </is>
      </c>
      <c r="K11" s="193" t="inlineStr">
        <is>
          <t>Prices &amp; growth · pct</t>
        </is>
      </c>
    </row>
    <row r="12" ht="15" customHeight="1" s="171">
      <c r="B12" s="170" t="inlineStr">
        <is>
          <t>Investments grow before fees and tax (a year; growth and fees tools)  [Set_invGross]</t>
        </is>
      </c>
      <c r="C12" s="196" t="n">
        <v>0.05</v>
      </c>
      <c r="G12" s="194" t="inlineStr">
        <is>
          <t>LifeMap standard, not a forecast</t>
        </is>
      </c>
      <c r="H12" s="193" t="inlineStr">
        <is>
          <t>LifeMap planning standard, not a prediction. Reference points: Pensions Authority pension-calculator growth assumption; Central Bank of Ireland guidance that returns are not guaranteed</t>
        </is>
      </c>
      <c r="I12" s="193" t="inlineStr">
        <is>
          <t>2026</t>
        </is>
      </c>
      <c r="J12" s="193" t="inlineStr">
        <is>
          <t>Used by the lump sum, regular investing, fees and real return tools. Growth is never guaranteed.</t>
        </is>
      </c>
      <c r="K12" s="193" t="inlineStr">
        <is>
          <t>Prices &amp; growth · pct</t>
        </is>
      </c>
    </row>
    <row r="13" ht="15" customHeight="1" s="171">
      <c r="B13" s="170" t="inlineStr">
        <is>
          <t>Pension grows while you work (a year, after charges)  [Set_pen]</t>
        </is>
      </c>
      <c r="C13" s="196" t="n">
        <v>0.045</v>
      </c>
      <c r="F13" s="196" t="n">
        <v>0.04</v>
      </c>
      <c r="G13" s="194" t="inlineStr">
        <is>
          <t>a planning assumption after charges, not a prediction</t>
        </is>
      </c>
      <c r="H13" s="193" t="inlineStr">
        <is>
          <t>LifeMap planning standard, not a prediction. Reference point: Pensions Authority pension-calculator assumptions</t>
        </is>
      </c>
      <c r="I13" s="193" t="inlineStr">
        <is>
          <t>2026</t>
        </is>
      </c>
      <c r="J13" s="193" t="inlineStr">
        <is>
          <t>A planning assumption, not a prediction. Growth is tax-free inside the fund.</t>
        </is>
      </c>
      <c r="K13" s="193" t="inlineStr">
        <is>
          <t>Prices &amp; growth · pct</t>
        </is>
      </c>
    </row>
    <row r="14" ht="15" customHeight="1" s="171">
      <c r="B14" s="170" t="inlineStr">
        <is>
          <t>Pension grows once retired (a year, after charges)  [Set_penRet]</t>
        </is>
      </c>
      <c r="C14" s="196" t="n">
        <v>0.0315</v>
      </c>
      <c r="F14" s="196" t="n">
        <v>0.028</v>
      </c>
      <c r="G14" s="194" t="inlineStr">
        <is>
          <t>a lower-risk fund once retired, after charges</t>
        </is>
      </c>
      <c r="H14" s="193" t="inlineStr">
        <is>
          <t>LifeMap planning standard, not a prediction. Reference point: Pensions Authority pension-calculator assumptions</t>
        </is>
      </c>
      <c r="I14" s="193" t="inlineStr">
        <is>
          <t>2026</t>
        </is>
      </c>
      <c r="J14" s="193" t="inlineStr">
        <is>
          <t>Most people take less risk once retired, so growth is usually lower.</t>
        </is>
      </c>
      <c r="K14" s="193" t="inlineStr">
        <is>
          <t>Prices &amp; growth · pct</t>
        </is>
      </c>
    </row>
    <row r="15" ht="15" customHeight="1" s="171">
      <c r="B15" s="195" t="inlineStr">
        <is>
          <t>Home</t>
        </is>
      </c>
    </row>
    <row r="16" ht="15" customHeight="1" s="171">
      <c r="B16" s="170" t="inlineStr">
        <is>
          <t>Rent vs buy: rent rises (a year)  [Set_rentRise]</t>
        </is>
      </c>
      <c r="C16" s="196" t="n">
        <v>0.03</v>
      </c>
      <c r="G16" s="194" t="inlineStr">
        <is>
          <t>a long-run planning figure</t>
        </is>
      </c>
      <c r="H16" s="193" t="inlineStr">
        <is>
          <t>LifeMap long-run planning figure. Reference points: Residential Tenancies Board Rent Index; CSO Consumer Price Index (rent)</t>
        </is>
      </c>
      <c r="I16" s="193" t="inlineStr">
        <is>
          <t>2026</t>
        </is>
      </c>
      <c r="J16" s="193" t="inlineStr">
        <is>
          <t>Renting has rent rises. Buying has costs that don't build equity: interest, stamp duty, fees, LPT and repairs.</t>
        </is>
      </c>
      <c r="K16" s="193" t="inlineStr">
        <is>
          <t>Home · pct</t>
        </is>
      </c>
    </row>
    <row r="17" ht="15" customHeight="1" s="171">
      <c r="B17" s="170" t="inlineStr">
        <is>
          <t>Rent vs buy: house prices rise (a year)  [Set_houseGrow]</t>
        </is>
      </c>
      <c r="C17" s="196" t="n">
        <v>0.02</v>
      </c>
      <c r="G17" s="194" t="inlineStr">
        <is>
          <t>a long-run planning figure; prices can fall</t>
        </is>
      </c>
      <c r="H17" s="193" t="inlineStr">
        <is>
          <t>LifeMap long-run planning figure. Reference point: CSO Residential Property Price Index</t>
        </is>
      </c>
      <c r="I17" s="193" t="inlineStr">
        <is>
          <t>2026</t>
        </is>
      </c>
      <c r="J17" s="193" t="inlineStr">
        <is>
          <t>House prices can fall as well as rise.</t>
        </is>
      </c>
      <c r="K17" s="193" t="inlineStr">
        <is>
          <t>Home · pct</t>
        </is>
      </c>
    </row>
    <row r="18" ht="15" customHeight="1" s="171">
      <c r="B18" s="170" t="inlineStr">
        <is>
          <t>Rent vs buy: upkeep a year (share of home value)  [Set_upkeep]</t>
        </is>
      </c>
      <c r="C18" s="196" t="n">
        <v>0.01</v>
      </c>
      <c r="G18" s="194" t="inlineStr">
        <is>
          <t>repairs, insurance and maintenance</t>
        </is>
      </c>
      <c r="H18" s="193" t="inlineStr">
        <is>
          <t>LifeMap planning standard (no official figure exists)</t>
        </is>
      </c>
      <c r="I18" s="193" t="inlineStr">
        <is>
          <t>2026</t>
        </is>
      </c>
      <c r="J18" s="193" t="n"/>
      <c r="K18" s="193" t="inlineStr">
        <is>
          <t>Home · pct</t>
        </is>
      </c>
    </row>
    <row r="19" ht="15" customHeight="1" s="171">
      <c r="B19" s="195" t="inlineStr">
        <is>
          <t>Retirement</t>
        </is>
      </c>
    </row>
    <row r="20" ht="15" customHeight="1" s="171">
      <c r="B20" s="170" t="inlineStr">
        <is>
          <t>Share of pension contributions you pay yourself  [Set_ownShare]</t>
        </is>
      </c>
      <c r="C20" s="196" t="n">
        <v>0.5</v>
      </c>
      <c r="G20" s="194" t="inlineStr">
        <is>
          <t>a common 5% + 5% split with your employer; 100% if self-employed</t>
        </is>
      </c>
      <c r="H20" s="193" t="inlineStr">
        <is>
          <t>Pensions Authority and My Future Fund (auto-enrolment) contribution split, 2026</t>
        </is>
      </c>
      <c r="I20" s="193" t="inlineStr">
        <is>
          <t>2026</t>
        </is>
      </c>
      <c r="J20" s="193" t="inlineStr">
        <is>
          <t>Your payslip shows what comes out of your pay. Only your own share gets tax relief. If you type your own amount in Your finances, we use that.</t>
        </is>
      </c>
      <c r="K20" s="193" t="inlineStr">
        <is>
          <t>Retirement · pct</t>
        </is>
      </c>
    </row>
    <row r="21" ht="15" customHeight="1" s="171">
      <c r="B21" s="170" t="inlineStr">
        <is>
          <t>Retirement savings target: times the yearly income needed  [Set_retireMult]</t>
        </is>
      </c>
      <c r="C21" s="194" t="n">
        <v>25</v>
      </c>
      <c r="G21" s="194" t="inlineStr">
        <is>
          <t>a common rule of thumb, about 4% a year</t>
        </is>
      </c>
      <c r="H21" s="193" t="inlineStr">
        <is>
          <t>Widely used 4% sustainable-withdrawal rule of thumb (W. Bengen, Journal of Financial Planning, 1994)</t>
        </is>
      </c>
      <c r="I21" s="193" t="inlineStr">
        <is>
          <t>2026</t>
        </is>
      </c>
      <c r="J21" s="193" t="inlineStr">
        <is>
          <t>Retiring early or planning to 95 needs more.</t>
        </is>
      </c>
      <c r="K21" s="193" t="inlineStr">
        <is>
          <t>Retirement · num</t>
        </is>
      </c>
    </row>
    <row r="22" ht="15" customHeight="1" s="171">
      <c r="B22" s="170" t="inlineStr">
        <is>
          <t>Retirement spending if no goal (share of today's spending)  [Set_retireSpend]</t>
        </is>
      </c>
      <c r="C22" s="196" t="n">
        <v>0.8</v>
      </c>
      <c r="G22" s="194" t="inlineStr">
        <is>
          <t>most people spend a bit less once work costs and the mortgage stop</t>
        </is>
      </c>
      <c r="H22" s="193" t="inlineStr">
        <is>
          <t>LifeMap planning standard. Reference points: Pensions Authority and Society of Actuaries in Ireland retirement-income guidance</t>
        </is>
      </c>
      <c r="I22" s="193" t="inlineStr">
        <is>
          <t>2026</t>
        </is>
      </c>
      <c r="J22" s="193" t="n"/>
      <c r="K22" s="193" t="inlineStr">
        <is>
          <t>Retirement · pct</t>
        </is>
      </c>
    </row>
    <row r="23" ht="15" customHeight="1" s="171">
      <c r="B23" s="170" t="inlineStr">
        <is>
          <t>Tax-free lump sum to take (share of pension; law limit 25%)  [Set_lumpSum]</t>
        </is>
      </c>
      <c r="C23" s="196" t="n">
        <v>0.25</v>
      </c>
      <c r="G23" s="194" t="inlineStr">
        <is>
          <t>most people take the full tax-free amount</t>
        </is>
      </c>
      <c r="H23" s="193" t="inlineStr">
        <is>
          <t>Revenue Commissioners: tax-free retirement lump sum, up to 25% of the fund (law limit)</t>
        </is>
      </c>
      <c r="I23" s="193" t="inlineStr">
        <is>
          <t>Law limit 25%</t>
        </is>
      </c>
      <c r="J23" s="193" t="n"/>
      <c r="K23" s="193" t="inlineStr">
        <is>
          <t>Retirement · pct</t>
        </is>
      </c>
    </row>
    <row r="24" ht="15" customHeight="1" s="171">
      <c r="B24" s="195" t="inlineStr">
        <is>
          <t>Emergency fund &amp; saving</t>
        </is>
      </c>
    </row>
    <row r="25" ht="15" customHeight="1" s="171">
      <c r="B25" s="170" t="inlineStr">
        <is>
          <t>Emergency fund: months of essential spending  [Set_safetyMonths]</t>
        </is>
      </c>
      <c r="C25" s="194" t="n">
        <v>6</v>
      </c>
      <c r="G25" s="194" t="inlineStr">
        <is>
          <t>6 months for a single income or self-employed, 3 for two secure incomes</t>
        </is>
      </c>
      <c r="H25" s="193" t="inlineStr">
        <is>
          <t>LifeMap planning standard. Reference points: MABS and CCPC (ccpc.ie) guidance on keeping 3 to 6 months of essential spending as an emergency fund</t>
        </is>
      </c>
      <c r="I25" s="193" t="inlineStr">
        <is>
          <t>2026</t>
        </is>
      </c>
      <c r="J25" s="193" t="inlineStr">
        <is>
          <t>Easy-access cash for surprises or a gap in pay. Essential spending = living costs + mortgage + loan repayments.</t>
        </is>
      </c>
      <c r="K25" s="193" t="inlineStr">
        <is>
          <t>Emergency fund &amp; saving · num</t>
        </is>
      </c>
    </row>
    <row r="26" ht="15" customHeight="1" s="171">
      <c r="B26" s="170" t="inlineStr">
        <is>
          <t>Emergency fund: months with two secure incomes  [Set_safetyMonthsTwo]</t>
        </is>
      </c>
      <c r="C26" s="194" t="n">
        <v>3</v>
      </c>
      <c r="G26" s="194" t="inlineStr">
        <is>
          <t>two secure incomes</t>
        </is>
      </c>
      <c r="H26" s="193" t="inlineStr">
        <is>
          <t>LifeMap planning standard. Reference points: MABS and CCPC guidance</t>
        </is>
      </c>
      <c r="I26" s="193" t="inlineStr">
        <is>
          <t>2026</t>
        </is>
      </c>
      <c r="J26" s="193" t="n"/>
      <c r="K26" s="193" t="inlineStr">
        <is>
          <t>Emergency fund &amp; saving · num</t>
        </is>
      </c>
    </row>
    <row r="27" ht="15" customHeight="1" s="171">
      <c r="B27" s="170" t="inlineStr">
        <is>
          <t>Money for goals sooner than this is kept as cash (years)  [Set_cashYears]</t>
        </is>
      </c>
      <c r="C27" s="194" t="n">
        <v>5</v>
      </c>
      <c r="G27" s="194" t="inlineStr">
        <is>
          <t>money needed within 5 years is usually kept as cash</t>
        </is>
      </c>
      <c r="H27" s="193" t="inlineStr">
        <is>
          <t>LifeMap planning standard (common planning practice: money needed within about 5 years is not invested)</t>
        </is>
      </c>
      <c r="I27" s="193" t="inlineStr">
        <is>
          <t>2026</t>
        </is>
      </c>
      <c r="J27" s="193" t="inlineStr">
        <is>
          <t>Longer-term money has more time to ride out ups and downs.</t>
        </is>
      </c>
      <c r="K27" s="193" t="inlineStr">
        <is>
          <t>Emergency fund &amp; saving · yrs</t>
        </is>
      </c>
    </row>
    <row r="28" ht="15" customHeight="1" s="171">
      <c r="B28" s="170" t="inlineStr">
        <is>
          <t>Spare savings: share invested  [Set_investShare]</t>
        </is>
      </c>
      <c r="C28" s="196" t="n">
        <v>0.4</v>
      </c>
      <c r="G28" s="194" t="inlineStr">
        <is>
          <t>a balanced cash and invested mix</t>
        </is>
      </c>
      <c r="H28" s="193" t="inlineStr">
        <is>
          <t>LifeMap planning standard (a balanced cash and invested mix)</t>
        </is>
      </c>
      <c r="I28" s="193" t="inlineStr">
        <is>
          <t>2026</t>
        </is>
      </c>
      <c r="J28" s="193" t="n"/>
      <c r="K28" s="193" t="inlineStr">
        <is>
          <t>Emergency fund &amp; saving · pct</t>
        </is>
      </c>
    </row>
    <row r="29" ht="15" customHeight="1" s="171">
      <c r="B29" s="170" t="inlineStr">
        <is>
          <t>Share of spare money saved, at most  [Set_saveShare]</t>
        </is>
      </c>
      <c r="C29" s="196" t="n">
        <v>0.5</v>
      </c>
      <c r="G29" s="194" t="inlineStr">
        <is>
          <t>half of your spare money</t>
        </is>
      </c>
      <c r="H29" s="193" t="inlineStr">
        <is>
          <t>LifeMap planning standard</t>
        </is>
      </c>
      <c r="I29" s="193" t="inlineStr">
        <is>
          <t>2026</t>
        </is>
      </c>
      <c r="J29" s="193" t="inlineStr">
        <is>
          <t>We never count more than this share of your spare money as saved, unless you set your own monthly saving.</t>
        </is>
      </c>
      <c r="K29" s="193" t="inlineStr">
        <is>
          <t>Emergency fund &amp; saving · pct</t>
        </is>
      </c>
    </row>
    <row r="30" ht="15" customHeight="1" s="171">
      <c r="B30" s="170" t="inlineStr">
        <is>
          <t>Monthly saving if not answered  [Set_noAnswer]</t>
        </is>
      </c>
      <c r="C30" s="198" t="n">
        <v>300</v>
      </c>
      <c r="G30" s="194" t="inlineStr">
        <is>
          <t>a modest regular amount</t>
        </is>
      </c>
      <c r="H30" s="193" t="inlineStr">
        <is>
          <t>LifeMap planning standard</t>
        </is>
      </c>
      <c r="I30" s="193" t="inlineStr">
        <is>
          <t>2026</t>
        </is>
      </c>
      <c r="J30" s="193" t="inlineStr">
        <is>
          <t>Used until you answer "How much could you comfortably invest each month?".</t>
        </is>
      </c>
      <c r="K30" s="193" t="inlineStr">
        <is>
          <t>Emergency fund &amp; saving · eur</t>
        </is>
      </c>
    </row>
    <row r="31" ht="15" customHeight="1" s="171">
      <c r="B31" s="195" t="inlineStr">
        <is>
          <t>Protection</t>
        </is>
      </c>
    </row>
    <row r="32" ht="15" customHeight="1" s="171">
      <c r="B32" s="170" t="inlineStr">
        <is>
          <t>Life cover: share of income the family needs  [Set_lifeShare]</t>
        </is>
      </c>
      <c r="C32" s="196" t="n">
        <v>0.6</v>
      </c>
      <c r="G32" s="194" t="inlineStr">
        <is>
          <t>families usually need less than full pay</t>
        </is>
      </c>
      <c r="H32" s="193" t="inlineStr">
        <is>
          <t>LifeMap planning standard. Reference point: Irish life-insurer needs calculators</t>
        </is>
      </c>
      <c r="I32" s="193" t="inlineStr">
        <is>
          <t>2026</t>
        </is>
      </c>
      <c r="J32" s="193" t="n"/>
      <c r="K32" s="193" t="inlineStr">
        <is>
          <t>Protection · pct</t>
        </is>
      </c>
    </row>
    <row r="33" ht="15" customHeight="1" s="171">
      <c r="B33" s="170" t="inlineStr">
        <is>
          <t>Life cover: years of support  [Set_lifeYears]</t>
        </is>
      </c>
      <c r="C33" s="194" t="n">
        <v>15</v>
      </c>
      <c r="G33" s="194" t="inlineStr">
        <is>
          <t>often until your youngest child is 23</t>
        </is>
      </c>
      <c r="H33" s="193" t="inlineStr">
        <is>
          <t>LifeMap planning standard. Reference point: Irish life-insurer needs calculators</t>
        </is>
      </c>
      <c r="I33" s="193" t="inlineStr">
        <is>
          <t>2026</t>
        </is>
      </c>
      <c r="J33" s="193" t="n"/>
      <c r="K33" s="193" t="inlineStr">
        <is>
          <t>Protection · yrs</t>
        </is>
      </c>
    </row>
    <row r="34" ht="15" customHeight="1" s="171">
      <c r="B34" s="195" t="inlineStr">
        <is>
          <t>Risk and budget</t>
        </is>
      </c>
    </row>
    <row r="35" ht="15" customHeight="1" s="171">
      <c r="B35" s="170" t="inlineStr">
        <is>
          <t>Risk and return: growth a year, Cautious / Balanced / Growth  [Set_riskMu]</t>
        </is>
      </c>
      <c r="C35" s="199" t="n">
        <v>0.02</v>
      </c>
      <c r="D35" s="199" t="n">
        <v>0.04</v>
      </c>
      <c r="E35" s="199" t="n">
        <v>0.06</v>
      </c>
      <c r="G35" s="194" t="inlineStr">
        <is>
          <t>illustrations, not forecasts</t>
        </is>
      </c>
      <c r="H35" s="193" t="inlineStr">
        <is>
          <t>LifeMap illustrations, not forecasts</t>
        </is>
      </c>
      <c r="I35" s="193" t="inlineStr">
        <is>
          <t>2026</t>
        </is>
      </c>
      <c r="J35" s="193" t="inlineStr">
        <is>
          <t>Your adviser uses the fund's own risk rating (SRI 1–7).</t>
        </is>
      </c>
      <c r="K35" s="193" t="inlineStr">
        <is>
          <t>Risk and budget · pct3</t>
        </is>
      </c>
    </row>
    <row r="36" ht="15" customHeight="1" s="171">
      <c r="B36" s="170" t="inlineStr">
        <is>
          <t>Risk and return: ups and downs (volatility), Cautious / Balanced / Growth  [Set_riskVol]</t>
        </is>
      </c>
      <c r="C36" s="199" t="n">
        <v>0.05</v>
      </c>
      <c r="D36" s="199" t="n">
        <v>0.1</v>
      </c>
      <c r="E36" s="199" t="n">
        <v>0.16</v>
      </c>
      <c r="G36" s="194" t="inlineStr">
        <is>
          <t>illustrations, not forecasts</t>
        </is>
      </c>
      <c r="H36" s="193" t="inlineStr">
        <is>
          <t>LifeMap illustrations, not forecasts</t>
        </is>
      </c>
      <c r="I36" s="193" t="inlineStr">
        <is>
          <t>2026</t>
        </is>
      </c>
      <c r="J36" s="193" t="inlineStr">
        <is>
          <t>How much a year can swing.</t>
        </is>
      </c>
      <c r="K36" s="193" t="inlineStr">
        <is>
          <t>Risk and budget · pct3</t>
        </is>
      </c>
    </row>
    <row r="37" ht="15" customHeight="1" s="171">
      <c r="B37" s="170" t="inlineStr">
        <is>
          <t>Budget split: needs / wants / savings and debt  [Set_budget]</t>
        </is>
      </c>
      <c r="C37" s="199" t="n">
        <v>0.5</v>
      </c>
      <c r="D37" s="199" t="n">
        <v>0.3</v>
      </c>
      <c r="E37" s="199" t="n">
        <v>0.2</v>
      </c>
      <c r="G37" s="194" t="inlineStr">
        <is>
          <t>the 50/30/20 rule</t>
        </is>
      </c>
      <c r="H37" s="193" t="inlineStr">
        <is>
          <t>The 50/30/20 budgeting rule (E. Warren and A. Warren Tyagi, All Your Worth, 2005)</t>
        </is>
      </c>
      <c r="I37" s="193" t="inlineStr">
        <is>
          <t>2026</t>
        </is>
      </c>
      <c r="J37" s="193" t="n"/>
      <c r="K37" s="193" t="inlineStr">
        <is>
          <t>Risk and budget · pct3</t>
        </is>
      </c>
    </row>
    <row r="38" ht="15" customHeight="1" s="171">
      <c r="B38" s="195" t="inlineStr">
        <is>
          <t>Choices</t>
        </is>
      </c>
    </row>
    <row r="39" ht="15" customHeight="1" s="171">
      <c r="B39" s="170" t="inlineStr">
        <is>
          <t>Tax bands in future  [Set_bands]</t>
        </is>
      </c>
      <c r="C39" s="194" t="inlineStr">
        <is>
          <t>prices</t>
        </is>
      </c>
      <c r="G39" s="194" t="inlineStr">
        <is>
          <t>Budgets have broadly kept pace over time</t>
        </is>
      </c>
      <c r="H39" s="193" t="inlineStr">
        <is>
          <t>Department of Finance Budget history (tax bands and credits, 2015 to 2026)</t>
        </is>
      </c>
      <c r="I39" s="193" t="inlineStr">
        <is>
          <t>2026</t>
        </is>
      </c>
      <c r="J39" s="193" t="inlineStr">
        <is>
          <t>Irish tax bands are set each Budget and don't rise automatically. "Stay as today" is the cautious view (more tax later).</t>
        </is>
      </c>
      <c r="K39" s="193" t="inlineStr">
        <is>
          <t>Choices · choice</t>
        </is>
      </c>
    </row>
    <row r="40" ht="15" customHeight="1" s="171">
      <c r="B40" s="170" t="inlineStr">
        <is>
          <t>State Pension in future  [Set_spGrow]</t>
        </is>
      </c>
      <c r="C40" s="194" t="inlineStr">
        <is>
          <t>prices</t>
        </is>
      </c>
      <c r="G40" s="194" t="inlineStr">
        <is>
          <t>it has broadly kept pace with prices over time</t>
        </is>
      </c>
      <c r="H40" s="193" t="inlineStr">
        <is>
          <t>Department of Social Protection weekly State Pension rate history</t>
        </is>
      </c>
      <c r="I40" s="193" t="inlineStr">
        <is>
          <t>2026</t>
        </is>
      </c>
      <c r="J40" s="193" t="inlineStr">
        <is>
          <t>The State Pension is set each Budget.</t>
        </is>
      </c>
      <c r="K40" s="193" t="inlineStr">
        <is>
          <t>Choices · choice</t>
        </is>
      </c>
    </row>
    <row r="41" ht="15" customHeight="1" s="171">
      <c r="B41" s="170" t="inlineStr">
        <is>
          <t>How you draw your pension  [Set_drawRule]</t>
        </is>
      </c>
      <c r="C41" s="194" t="inlineStr">
        <is>
          <t>spread</t>
        </is>
      </c>
      <c r="G41" s="194" t="inlineStr">
        <is>
          <t>spread over your plan, at least the legal minimum</t>
        </is>
      </c>
      <c r="H41" s="193" t="inlineStr">
        <is>
          <t>Revenue Commissioners: ARF and vested PRSA minimum annual distribution (4% from 61, 5% from 71; 6% over €2m)</t>
        </is>
      </c>
      <c r="I41" s="193" t="inlineStr">
        <is>
          <t>2026</t>
        </is>
      </c>
      <c r="J41" s="193" t="n"/>
      <c r="K41" s="193" t="inlineStr">
        <is>
          <t>Choices · choice</t>
        </is>
      </c>
    </row>
    <row r="42" ht="15" customHeight="1" s="171">
      <c r="B42" s="170" t="inlineStr">
        <is>
          <t>Drawdown tools: withdrawals taken at the  [Set_ddTiming]</t>
        </is>
      </c>
      <c r="C42" s="194" t="inlineStr">
        <is>
          <t>start</t>
        </is>
      </c>
      <c r="G42" s="194" t="inlineStr">
        <is>
          <t>the prudent choice: the money has less time to grow before you take it</t>
        </is>
      </c>
      <c r="H42" s="193" t="inlineStr">
        <is>
          <t>LifeMap tool setting</t>
        </is>
      </c>
      <c r="I42" s="193" t="inlineStr">
        <is>
          <t>2026</t>
        </is>
      </c>
      <c r="J42" s="193" t="n"/>
      <c r="K42" s="193" t="inlineStr">
        <is>
          <t>Choices · choice</t>
        </is>
      </c>
    </row>
    <row r="43" ht="15" customHeight="1" s="171">
      <c r="B43" s="170" t="inlineStr">
        <is>
          <t>Lump sum tool: years you might wait before investing  [Set_waitYears]</t>
        </is>
      </c>
      <c r="C43" s="194" t="n">
        <v>5</v>
      </c>
      <c r="G43" s="194" t="inlineStr">
        <is>
          <t>an illustration of the cost of waiting</t>
        </is>
      </c>
      <c r="H43" s="193" t="inlineStr">
        <is>
          <t>LifeMap tool setting (an illustration of the cost of waiting)</t>
        </is>
      </c>
      <c r="I43" s="193" t="inlineStr">
        <is>
          <t>2026</t>
        </is>
      </c>
      <c r="J43" s="193" t="n"/>
      <c r="K43" s="193" t="inlineStr">
        <is>
          <t>Choices · yrs</t>
        </is>
      </c>
    </row>
    <row r="44" ht="15" customHeight="1" s="171">
      <c r="B44" s="170" t="inlineStr">
        <is>
          <t>Risk and return tool: investment style (1 Cautious, 2 Balanced, 3 Growth)  [Set_style]</t>
        </is>
      </c>
      <c r="C44" s="194" t="n">
        <v>2</v>
      </c>
      <c r="G44" s="194" t="inlineStr">
        <is>
          <t>Balanced; an adviser checks your attitude to risk</t>
        </is>
      </c>
      <c r="H44" s="193" t="inlineStr">
        <is>
          <t>LifeMap tool setting (Balanced; an adviser checks attitude to risk)</t>
        </is>
      </c>
      <c r="I44" s="193" t="inlineStr">
        <is>
          <t>2026</t>
        </is>
      </c>
      <c r="J44" s="193" t="n"/>
      <c r="K44" s="193" t="inlineStr">
        <is>
          <t>Choices · num</t>
        </is>
      </c>
    </row>
    <row r="45" ht="15" customHeight="1" s="171">
      <c r="B45" s="195" t="inlineStr">
        <is>
          <t>Market rates</t>
        </is>
      </c>
    </row>
    <row r="46" ht="15" customHeight="1" s="171">
      <c r="B46" s="170" t="inlineStr">
        <is>
          <t>Suggested mortgage rate  [Set_mortRate]</t>
        </is>
      </c>
      <c r="C46" s="196" t="n">
        <v>0.0348</v>
      </c>
      <c r="D46" s="196" t="n"/>
      <c r="G46" s="194" t="inlineStr">
        <is>
          <t>Central Bank of Ireland: average rate on new mortgages, Jul 2026</t>
        </is>
      </c>
      <c r="H46" s="193" t="inlineStr">
        <is>
          <t>https://www.centralbank.ie/statistics/data-and-analysis/credit-and-banking-statistics/retail-interest-rates</t>
        </is>
      </c>
      <c r="I46" s="193" t="inlineStr">
        <is>
          <t>Jul 2026</t>
        </is>
      </c>
      <c r="J46" s="193" t="inlineStr">
        <is>
          <t>Your mortgage statement shows your rate. Typing it is fine: no upload needed.</t>
        </is>
      </c>
      <c r="K46" s="193" t="inlineStr">
        <is>
          <t>Market rates · pct</t>
        </is>
      </c>
      <c r="L46" s="193" t="inlineStr">
        <is>
          <t>Central Bank of Ireland: average rate on new mortgages, Jul 2026</t>
        </is>
      </c>
      <c r="M46" s="200" t="n">
        <v>0.0348</v>
      </c>
    </row>
    <row r="47" ht="15" customHeight="1" s="171">
      <c r="B47" s="170" t="inlineStr">
        <is>
          <t>Suggested personal and car loan rate (APR)  [Set_loanRate]</t>
        </is>
      </c>
      <c r="C47" s="196" t="n">
        <v>0.0672</v>
      </c>
      <c r="D47" s="196" t="n"/>
      <c r="G47" s="194" t="inlineStr">
        <is>
          <t>Central Bank of Ireland: average rate on new consumer loans, Jul 2026</t>
        </is>
      </c>
      <c r="H47" s="193" t="inlineStr">
        <is>
          <t>https://www.centralbank.ie/statistics/data-and-analysis/credit-and-banking-statistics/retail-interest-rates</t>
        </is>
      </c>
      <c r="I47" s="193" t="inlineStr">
        <is>
          <t>Jul 2026</t>
        </is>
      </c>
      <c r="J47" s="193" t="inlineStr">
        <is>
          <t>Your loan agreement shows your APR.</t>
        </is>
      </c>
      <c r="K47" s="193" t="inlineStr">
        <is>
          <t>Market rates · pct</t>
        </is>
      </c>
      <c r="L47" s="193" t="inlineStr">
        <is>
          <t>Central Bank of Ireland: average rate on new consumer loans, Jul 2026</t>
        </is>
      </c>
      <c r="M47" s="200" t="n">
        <v>0.0672</v>
      </c>
    </row>
    <row r="48" ht="15" customHeight="1" s="171">
      <c r="B48" s="170" t="inlineStr">
        <is>
          <t>Suggested credit card rate (APR)  [Set_cardRate]</t>
        </is>
      </c>
      <c r="C48" s="196" t="n"/>
      <c r="D48" s="196" t="n"/>
      <c r="G48" s="194" t="inlineStr">
        <is>
          <t>No published average</t>
        </is>
      </c>
      <c r="H48" s="193" t="inlineStr">
        <is>
          <t>https://www.centralbank.ie/statistics/data-and-analysis/credit-and-banking-statistics/retail-interest-rates</t>
        </is>
      </c>
      <c r="I48" s="193" t="inlineStr">
        <is>
          <t>—</t>
        </is>
      </c>
      <c r="J48" s="193" t="inlineStr">
        <is>
          <t>Your card statement shows your APR.</t>
        </is>
      </c>
      <c r="K48" s="193" t="inlineStr">
        <is>
          <t>Market rates · pct</t>
        </is>
      </c>
      <c r="L48" s="193" t="inlineStr">
        <is>
          <t>No published average</t>
        </is>
      </c>
      <c r="M48" s="200" t="str"/>
    </row>
    <row r="49" ht="15" customHeight="1" s="171">
      <c r="B49" s="170" t="inlineStr">
        <is>
          <t>Suggested deposit rate (fixed term, before 33% DIRT)  [Set_depRate]</t>
        </is>
      </c>
      <c r="C49" s="196" t="n">
        <v>0.0192</v>
      </c>
      <c r="D49" s="196" t="n"/>
      <c r="G49" s="194" t="inlineStr">
        <is>
          <t>Central Bank of Ireland: average rate on new fixed-term household deposits, Jul 2026</t>
        </is>
      </c>
      <c r="H49" s="193" t="inlineStr">
        <is>
          <t>https://www.centralbank.ie/statistics/data-and-analysis/credit-and-banking-statistics/retail-interest-rates</t>
        </is>
      </c>
      <c r="I49" s="193" t="inlineStr">
        <is>
          <t>Jul 2026</t>
        </is>
      </c>
      <c r="J49" s="193" t="inlineStr">
        <is>
          <t>If you rent, your deposit stays in savings. Optional: leave it blank to leave it out.</t>
        </is>
      </c>
      <c r="K49" s="193" t="inlineStr">
        <is>
          <t>Market rates · pct</t>
        </is>
      </c>
      <c r="L49" s="193" t="inlineStr">
        <is>
          <t>Central Bank of Ireland: average rate on new fixed-term household deposits, Jul 2026</t>
        </is>
      </c>
      <c r="M49" s="200" t="n">
        <v>0.0192</v>
      </c>
    </row>
    <row r="50" ht="15" customHeight="1" s="171">
      <c r="B50" s="170" t="inlineStr">
        <is>
          <t>Suggested buying fees (legal and survey)  [Set_buyFees]</t>
        </is>
      </c>
      <c r="C50" s="198" t="n"/>
      <c r="D50" s="198" t="n"/>
      <c r="G50" s="194" t="inlineStr">
        <is>
          <t>No published figure</t>
        </is>
      </c>
      <c r="H50" s="193" t="inlineStr">
        <is>
          <t>No published figure</t>
        </is>
      </c>
      <c r="I50" s="193" t="inlineStr">
        <is>
          <t>—</t>
        </is>
      </c>
      <c r="J50" s="193" t="n"/>
      <c r="K50" s="193" t="inlineStr">
        <is>
          <t>Market rates · eur</t>
        </is>
      </c>
      <c r="L50" s="193" t="inlineStr">
        <is>
          <t>No published figure</t>
        </is>
      </c>
      <c r="M50" s="201" t="str"/>
    </row>
    <row r="51" ht="15" customHeight="1" s="171">
      <c r="B51" s="170" t="inlineStr">
        <is>
          <t>Suggested fund and pension charges (a year)  [Set_fundChg]</t>
        </is>
      </c>
      <c r="C51" s="196" t="n">
        <v>0.01</v>
      </c>
      <c r="D51" s="196" t="n"/>
      <c r="G51" s="194" t="inlineStr">
        <is>
          <t>Pensions Authority pension calculator assumption</t>
        </is>
      </c>
      <c r="H51" s="193" t="inlineStr">
        <is>
          <t>https://pensionsauthority.ie/scheme-members-and-prsa-contributors/pension-calculator/assumptions/ · https://www.ccpc.ie/consumers/money/pensions/fees-and-charges/</t>
        </is>
      </c>
      <c r="I51" s="193" t="inlineStr">
        <is>
          <t>2026</t>
        </is>
      </c>
      <c r="J51" s="193" t="inlineStr">
        <is>
          <t>When your statement shows your own charges, we use them instead of this.</t>
        </is>
      </c>
      <c r="K51" s="193" t="inlineStr">
        <is>
          <t>Market rates · pct</t>
        </is>
      </c>
      <c r="L51" s="193" t="inlineStr">
        <is>
          <t>Pensions Authority pension calculator assumption</t>
        </is>
      </c>
      <c r="M51" s="200" t="n">
        <v>0.01</v>
      </c>
    </row>
    <row r="52" ht="15" customHeight="1" s="171">
      <c r="B52" s="195" t="inlineStr">
        <is>
          <t>Guidance only (shown, never filled in for you)</t>
        </is>
      </c>
    </row>
    <row r="53" ht="15" customHeight="1" s="171">
      <c r="B53" s="170" t="inlineStr">
        <is>
          <t>Life expectancy at 65, men (years): guidance only  [Set_g_lifeMen65]</t>
        </is>
      </c>
      <c r="C53" s="194" t="n">
        <v>83</v>
      </c>
      <c r="G53" s="194" t="inlineStr">
        <is>
          <t>CSO, Irish Life Tables No. 17, 2015–2017</t>
        </is>
      </c>
      <c r="H53" s="193" t="inlineStr">
        <is>
          <t>https://www.cso.ie/en/releasesandpublications/er/ilt/irishlifetablesno172015-2017/</t>
        </is>
      </c>
      <c r="I53" s="193" t="inlineStr">
        <is>
          <t>2015–2017 (latest edition; 65 + 18.3 years)</t>
        </is>
      </c>
      <c r="J53" s="193" t="n"/>
      <c r="K53" s="193" t="inlineStr">
        <is>
          <t>Guidance only · num</t>
        </is>
      </c>
    </row>
    <row r="54" ht="15" customHeight="1" s="171">
      <c r="B54" s="170" t="inlineStr">
        <is>
          <t>Life expectancy at 65, women (years): guidance only  [Set_g_lifeWomen65]</t>
        </is>
      </c>
      <c r="C54" s="194" t="n">
        <v>86</v>
      </c>
      <c r="G54" s="194" t="inlineStr">
        <is>
          <t>CSO, Irish Life Tables No. 17, 2015–2017</t>
        </is>
      </c>
      <c r="H54" s="193" t="inlineStr">
        <is>
          <t>https://www.cso.ie/en/releasesandpublications/er/ilt/irishlifetablesno172015-2017/</t>
        </is>
      </c>
      <c r="I54" s="193" t="inlineStr">
        <is>
          <t>2015–2017 (latest edition; 65 + 21.0 years)</t>
        </is>
      </c>
      <c r="J54" s="193" t="n"/>
      <c r="K54" s="193" t="inlineStr">
        <is>
          <t>Guidance only · num</t>
        </is>
      </c>
    </row>
    <row r="55" ht="15" customHeight="1" s="171">
      <c r="B55" s="195" t="inlineStr">
        <is>
          <t>Fixed values (not customer-editable)</t>
        </is>
      </c>
    </row>
    <row r="56" ht="15" customHeight="1" s="171">
      <c r="B56" s="170" t="inlineStr">
        <is>
          <t>Inflation "Ireland now" (CSO HICP flash)  [Set_inflNow]</t>
        </is>
      </c>
      <c r="C56" s="202" t="n">
        <v>0.039</v>
      </c>
      <c r="G56" s="170" t="inlineStr">
        <is>
          <t>CSO HICP flash, Sep 2026</t>
        </is>
      </c>
    </row>
    <row r="57" ht="15" customHeight="1" s="171">
      <c r="B57" s="170" t="inlineStr">
        <is>
          <t>New credit cards: maximum APR (Central Bank; a legal cap, not a suggestion)  [Card_APR_Cap]</t>
        </is>
      </c>
      <c r="C57" s="203"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4" t="n">
        <v>60</v>
      </c>
      <c r="G59" s="194" t="inlineStr">
        <is>
          <t>most pensions can be drawn from 60; some occupational schemes allow 50</t>
        </is>
      </c>
      <c r="H59" s="193" t="inlineStr">
        <is>
          <t>Revenue Commissioners: pension benefits can usually be taken from age 60 (PRSAs and personal pensions); some occupational schemes allow retirement from 50 (see the law register). Verify before release.</t>
        </is>
      </c>
      <c r="I59" s="193" t="inlineStr">
        <is>
          <t>2026</t>
        </is>
      </c>
      <c r="J59" s="193" t="inlineStr">
        <is>
          <t>We assume 60. Choose 50 only if your occupational scheme says it allows it. Before this age your plan pays for life from savings and other income.</t>
        </is>
      </c>
      <c r="K59" s="193"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79" t="inlineStr">
        <is>
          <t>Assumptions: Irish rules register</t>
        </is>
      </c>
    </row>
    <row r="2" ht="15" customHeight="1" s="171">
      <c r="B2" s="204" t="inlineStr">
        <is>
          <t>Irish rules 2026 · checked 2 Oct 2026</t>
        </is>
      </c>
    </row>
    <row r="3" ht="39.75" customHeight="1" s="171">
      <c r="B3" s="205"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3" t="inlineStr">
        <is>
          <t>The Plan sheets (Plan pay &amp; tax, "RULES the plan uses") read these same values: change a figure here and the plan changes with it. Values the Plan sheets need that are not on this sheet are typed there and labelled.</t>
        </is>
      </c>
    </row>
    <row r="5" ht="15" customHeight="1" s="171">
      <c r="B5" s="206" t="inlineStr">
        <is>
          <t>INFLATION GUIDANCE (not a value: inflation is the client's own choice on each calculator)</t>
        </is>
      </c>
      <c r="C5" s="207" t="n"/>
      <c r="D5" s="207" t="n"/>
      <c r="E5" s="207" t="n"/>
      <c r="F5" s="207" t="n"/>
      <c r="G5" s="207" t="n"/>
      <c r="H5" s="207" t="n"/>
    </row>
    <row r="6" ht="15" customHeight="1" s="171">
      <c r="B6" s="208" t="inlineStr">
        <is>
          <t>Rule (name in formulas)</t>
        </is>
      </c>
      <c r="C6" s="208" t="inlineStr">
        <is>
          <t>Value</t>
        </is>
      </c>
      <c r="D6" s="208" t="inlineStr">
        <is>
          <t>Used by</t>
        </is>
      </c>
      <c r="E6" s="208" t="inlineStr">
        <is>
          <t>Source URL</t>
        </is>
      </c>
      <c r="F6" s="208" t="inlineStr">
        <is>
          <t>Effective</t>
        </is>
      </c>
      <c r="G6" s="208" t="inlineStr">
        <is>
          <t>Verify before release?</t>
        </is>
      </c>
      <c r="H6" s="208" t="inlineStr">
        <is>
          <t>Audit #</t>
        </is>
      </c>
    </row>
    <row r="7" ht="39.75" customHeight="1" s="171">
      <c r="B7" s="209"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0" t="inlineStr">
        <is>
          <t>https://www.cso.ie/en/csolatestnews/pressreleases/2026pressreleases/pressstatementflashestimatefortheharmonisedindexofconsumerpricesseptember2026/ · https://www.rte.ie/news/business/2026/1001/1593629-cso-flash-inflation-reading/</t>
        </is>
      </c>
    </row>
    <row r="8" ht="15" customHeight="1" s="171">
      <c r="B8" s="206" t="inlineStr">
        <is>
          <t>INCOME TAX 2026 (Tax engine)  ·  Set by Government · 2026 (type 1, not an input)</t>
        </is>
      </c>
      <c r="C8" s="207" t="n"/>
      <c r="D8" s="207" t="n"/>
      <c r="E8" s="207" t="n"/>
      <c r="F8" s="207" t="n"/>
      <c r="G8" s="207" t="n"/>
      <c r="H8" s="207" t="n"/>
    </row>
    <row r="9" ht="15" customHeight="1" s="171">
      <c r="B9" s="208" t="inlineStr">
        <is>
          <t>Rule (name in formulas)</t>
        </is>
      </c>
      <c r="C9" s="208" t="inlineStr">
        <is>
          <t>Value</t>
        </is>
      </c>
      <c r="D9" s="208" t="inlineStr">
        <is>
          <t>Used by</t>
        </is>
      </c>
      <c r="E9" s="208" t="inlineStr">
        <is>
          <t>Source URL</t>
        </is>
      </c>
      <c r="F9" s="208" t="inlineStr">
        <is>
          <t>Effective</t>
        </is>
      </c>
      <c r="G9" s="208" t="inlineStr">
        <is>
          <t>Verify before release?</t>
        </is>
      </c>
      <c r="H9" s="208" t="inlineStr">
        <is>
          <t>Audit #</t>
        </is>
      </c>
    </row>
    <row r="10" ht="24" customHeight="1" s="171">
      <c r="B10" s="180" t="inlineStr">
        <is>
          <t>Standard-rate band, single  [Band_Single]</t>
        </is>
      </c>
      <c r="C10" s="211" t="n">
        <v>44000</v>
      </c>
      <c r="D10" s="212" t="inlineStr">
        <is>
          <t>Tax engine; C13/C14 tax-rate pre-fill</t>
        </is>
      </c>
      <c r="E10" s="210" t="inlineStr">
        <is>
          <t>https://www.raisin.com/en-ie/taxes/income-tax-rates/ · https://universityofgalway.ie/media/pensionsandinvestments/Budget-Summary-2026.pdf</t>
        </is>
      </c>
      <c r="F10" s="212" t="inlineStr">
        <is>
          <t>1 Jan 2026</t>
        </is>
      </c>
      <c r="G10" s="213" t="inlineStr">
        <is>
          <t>Yes (primary page quoted, P)</t>
        </is>
      </c>
      <c r="H10" s="210" t="inlineStr">
        <is>
          <t>#1</t>
        </is>
      </c>
    </row>
    <row r="11" ht="24" customHeight="1" s="171">
      <c r="B11" s="180" t="inlineStr">
        <is>
          <t>Standard-rate band, single person child carer  [Band_Single_Parent]</t>
        </is>
      </c>
      <c r="C11" s="211" t="n">
        <v>48000</v>
      </c>
      <c r="D11" s="212" t="inlineStr">
        <is>
          <t>Tax engine</t>
        </is>
      </c>
      <c r="E11" s="210" t="inlineStr">
        <is>
          <t>https://www.noonecasey.ie/irish-budget-2026/ · https://www.irishtaxhub.ie/blog/tax-credits-in-ireland-full-list</t>
        </is>
      </c>
      <c r="F11" s="212" t="inlineStr">
        <is>
          <t>1 Jan 2026</t>
        </is>
      </c>
      <c r="G11" s="213" t="inlineStr">
        <is>
          <t>Yes (secondary source, S)</t>
        </is>
      </c>
      <c r="H11" s="210" t="inlineStr">
        <is>
          <t>#4</t>
        </is>
      </c>
    </row>
    <row r="12" ht="24" customHeight="1" s="171">
      <c r="B12" s="180" t="inlineStr">
        <is>
          <t>Standard-rate band, married / civil partners (one earner)  [Band_Married]</t>
        </is>
      </c>
      <c r="C12" s="211" t="n">
        <v>53000</v>
      </c>
      <c r="D12" s="212" t="inlineStr">
        <is>
          <t>Tax engine</t>
        </is>
      </c>
      <c r="E12" s="210" t="inlineStr">
        <is>
          <t>https://www.raisin.com/en-ie/taxes/income-tax-rates/ · https://universityofgalway.ie/media/pensionsandinvestments/Budget-Summary-2026.pdf</t>
        </is>
      </c>
      <c r="F12" s="212" t="inlineStr">
        <is>
          <t>1 Jan 2026</t>
        </is>
      </c>
      <c r="G12" s="213" t="inlineStr">
        <is>
          <t>Yes (primary page quoted, P)</t>
        </is>
      </c>
      <c r="H12" s="210" t="inlineStr">
        <is>
          <t>#2</t>
        </is>
      </c>
    </row>
    <row r="13" ht="24" customHeight="1" s="171">
      <c r="B13" s="180" t="inlineStr">
        <is>
          <t>Band increase for a second earner (lower income, up to)  [Band_Second_Earner_Max]</t>
        </is>
      </c>
      <c r="C13" s="211" t="n">
        <v>35000</v>
      </c>
      <c r="D13" s="212" t="inlineStr">
        <is>
          <t>Tax engine</t>
        </is>
      </c>
      <c r="E13" s="210" t="inlineStr">
        <is>
          <t>https://www.raisin.com/en-ie/taxes/income-tax-rates/ · https://universityofgalway.ie/media/pensionsandinvestments/Budget-Summary-2026.pdf</t>
        </is>
      </c>
      <c r="F13" s="212" t="inlineStr">
        <is>
          <t>1 Jan 2026</t>
        </is>
      </c>
      <c r="G13" s="213" t="inlineStr">
        <is>
          <t>Yes (primary page quoted, P)</t>
        </is>
      </c>
      <c r="H13" s="210" t="inlineStr">
        <is>
          <t>#3</t>
        </is>
      </c>
    </row>
    <row r="14" ht="24" customHeight="1" s="171">
      <c r="B14" s="180" t="inlineStr">
        <is>
          <t>Standard rate of income tax  [Rate_Standard]</t>
        </is>
      </c>
      <c r="C14" s="214" t="n">
        <v>0.2</v>
      </c>
      <c r="D14" s="212" t="inlineStr">
        <is>
          <t>Tax engine</t>
        </is>
      </c>
      <c r="E14" s="210" t="inlineStr">
        <is>
          <t>https://www.raisin.com/en-ie/taxes/income-tax-rates/ · https://universityofgalway.ie/media/pensionsandinvestments/Budget-Summary-2026.pdf</t>
        </is>
      </c>
      <c r="F14" s="212" t="inlineStr">
        <is>
          <t>2026</t>
        </is>
      </c>
      <c r="G14" s="213" t="inlineStr">
        <is>
          <t>Yes (primary page quoted, P)</t>
        </is>
      </c>
      <c r="H14" s="210" t="inlineStr">
        <is>
          <t>#5</t>
        </is>
      </c>
    </row>
    <row r="15" ht="24" customHeight="1" s="171">
      <c r="B15" s="180" t="inlineStr">
        <is>
          <t>Higher rate of income tax  [Rate_Higher]</t>
        </is>
      </c>
      <c r="C15" s="214" t="n">
        <v>0.4</v>
      </c>
      <c r="D15" s="212" t="inlineStr">
        <is>
          <t>Tax engine; C13/C14</t>
        </is>
      </c>
      <c r="E15" s="210" t="inlineStr">
        <is>
          <t>https://www.raisin.com/en-ie/taxes/income-tax-rates/ · https://universityofgalway.ie/media/pensionsandinvestments/Budget-Summary-2026.pdf</t>
        </is>
      </c>
      <c r="F15" s="212" t="inlineStr">
        <is>
          <t>2026</t>
        </is>
      </c>
      <c r="G15" s="213" t="inlineStr">
        <is>
          <t>Yes (primary page quoted, P)</t>
        </is>
      </c>
      <c r="H15" s="210" t="inlineStr">
        <is>
          <t>#5</t>
        </is>
      </c>
    </row>
    <row r="16" ht="24" customHeight="1" s="171">
      <c r="B16" s="180" t="inlineStr">
        <is>
          <t>Personal tax credit, single  [Credit_Personal_Single]</t>
        </is>
      </c>
      <c r="C16" s="211" t="n">
        <v>2000</v>
      </c>
      <c r="D16" s="212" t="inlineStr">
        <is>
          <t>Tax engine</t>
        </is>
      </c>
      <c r="E16" s="210" t="inlineStr">
        <is>
          <t>https://www.raisin.com/en-ie/taxes/income-tax-rates/ · https://universityofgalway.ie/media/pensionsandinvestments/Budget-Summary-2026.pdf</t>
        </is>
      </c>
      <c r="F16" s="212" t="inlineStr">
        <is>
          <t>2026</t>
        </is>
      </c>
      <c r="G16" s="213" t="inlineStr">
        <is>
          <t>Yes (primary page quoted, P)</t>
        </is>
      </c>
      <c r="H16" s="210" t="inlineStr">
        <is>
          <t>#6</t>
        </is>
      </c>
    </row>
    <row r="17" ht="24" customHeight="1" s="171">
      <c r="B17" s="180" t="inlineStr">
        <is>
          <t>Personal tax credit, married / civil partners  [Credit_Personal_Married]</t>
        </is>
      </c>
      <c r="C17" s="211" t="n">
        <v>4000</v>
      </c>
      <c r="D17" s="212" t="inlineStr">
        <is>
          <t>Tax engine</t>
        </is>
      </c>
      <c r="E17" s="210" t="inlineStr">
        <is>
          <t>https://www.raisin.com/en-ie/taxes/income-tax-rates/ · https://universityofgalway.ie/media/pensionsandinvestments/Budget-Summary-2026.pdf</t>
        </is>
      </c>
      <c r="F17" s="212" t="inlineStr">
        <is>
          <t>2026</t>
        </is>
      </c>
      <c r="G17" s="213" t="inlineStr">
        <is>
          <t>Yes (primary page quoted, P)</t>
        </is>
      </c>
      <c r="H17" s="210" t="inlineStr">
        <is>
          <t>#6</t>
        </is>
      </c>
    </row>
    <row r="18" ht="24" customHeight="1" s="171">
      <c r="B18" s="180" t="inlineStr">
        <is>
          <t>Employee (PAYE) tax credit, each earner (capped at 20% of PAYE income)  [Credit_PAYE]</t>
        </is>
      </c>
      <c r="C18" s="211" t="n">
        <v>2000</v>
      </c>
      <c r="D18" s="212" t="inlineStr">
        <is>
          <t>Tax engine</t>
        </is>
      </c>
      <c r="E18" s="210" t="inlineStr">
        <is>
          <t>https://revenue.ie/en/personal-tax-credits-reliefs-and-exemptions/income-and-employment/employee-tax-credit/index.aspx</t>
        </is>
      </c>
      <c r="F18" s="212" t="inlineStr">
        <is>
          <t>2026</t>
        </is>
      </c>
      <c r="G18" s="213" t="inlineStr">
        <is>
          <t>Yes (primary page quoted, P)</t>
        </is>
      </c>
      <c r="H18" s="210" t="inlineStr">
        <is>
          <t>#7</t>
        </is>
      </c>
    </row>
    <row r="19" ht="24" customHeight="1" s="171">
      <c r="B19" s="180" t="inlineStr">
        <is>
          <t>PAYE credit cap, % of PAYE income  [Credit_PAYE_Cap_Pct]</t>
        </is>
      </c>
      <c r="C19" s="214" t="n">
        <v>0.2</v>
      </c>
      <c r="D19" s="212" t="inlineStr">
        <is>
          <t>Tax engine</t>
        </is>
      </c>
      <c r="E19" s="210" t="inlineStr">
        <is>
          <t>As above</t>
        </is>
      </c>
      <c r="F19" s="212" t="inlineStr">
        <is>
          <t>2026</t>
        </is>
      </c>
      <c r="G19" s="213" t="inlineStr">
        <is>
          <t>Yes (primary page quoted, P)</t>
        </is>
      </c>
      <c r="H19" s="210" t="inlineStr">
        <is>
          <t>#7</t>
        </is>
      </c>
    </row>
    <row r="20" ht="24" customHeight="1" s="171">
      <c r="B20" s="180" t="inlineStr">
        <is>
          <t>Single Person Child Carer Credit  [Credit_SPCCC]</t>
        </is>
      </c>
      <c r="C20" s="211" t="n">
        <v>1900</v>
      </c>
      <c r="D20" s="212" t="inlineStr">
        <is>
          <t>Tax engine</t>
        </is>
      </c>
      <c r="E20" s="210" t="inlineStr">
        <is>
          <t>https://www.noonecasey.ie/irish-budget-2026/ · https://www.irishtaxhub.ie/blog/tax-credits-in-ireland-full-list</t>
        </is>
      </c>
      <c r="F20" s="212" t="inlineStr">
        <is>
          <t>1 Jan 2026</t>
        </is>
      </c>
      <c r="G20" s="213" t="inlineStr">
        <is>
          <t>Yes (secondary source, S)</t>
        </is>
      </c>
      <c r="H20" s="210" t="inlineStr">
        <is>
          <t>#4</t>
        </is>
      </c>
    </row>
    <row r="21" ht="24" customHeight="1" s="171">
      <c r="B21" s="180" t="inlineStr">
        <is>
          <t>Rent Tax Credit, single (to end-2028)  [Credit_Rent_Single]</t>
        </is>
      </c>
      <c r="C21" s="211" t="n">
        <v>1000</v>
      </c>
      <c r="D21" s="212" t="inlineStr">
        <is>
          <t>Tax engine</t>
        </is>
      </c>
      <c r="E21" s="210" t="inlineStr">
        <is>
          <t>https://www.noonecasey.ie/irish-budget-2026/ · https://www.irishtaxhub.ie/blog/tax-credits-in-ireland-full-list</t>
        </is>
      </c>
      <c r="F21" s="212" t="inlineStr">
        <is>
          <t>2025–2028</t>
        </is>
      </c>
      <c r="G21" s="213" t="inlineStr">
        <is>
          <t>Yes (secondary source, S)</t>
        </is>
      </c>
      <c r="H21" s="210" t="inlineStr">
        <is>
          <t>#8</t>
        </is>
      </c>
    </row>
    <row r="22" ht="24" customHeight="1" s="171">
      <c r="B22" s="180" t="inlineStr">
        <is>
          <t>Rent Tax Credit, jointly assessed couple  [Credit_Rent_Joint]</t>
        </is>
      </c>
      <c r="C22" s="211" t="n">
        <v>2000</v>
      </c>
      <c r="D22" s="212" t="inlineStr">
        <is>
          <t>Tax engine</t>
        </is>
      </c>
      <c r="E22" s="210" t="inlineStr">
        <is>
          <t>https://www.noonecasey.ie/irish-budget-2026/ · https://www.irishtaxhub.ie/blog/tax-credits-in-ireland-full-list</t>
        </is>
      </c>
      <c r="F22" s="212" t="inlineStr">
        <is>
          <t>2025–2028</t>
        </is>
      </c>
      <c r="G22" s="213" t="inlineStr">
        <is>
          <t>Yes (secondary source, S)</t>
        </is>
      </c>
      <c r="H22" s="210" t="inlineStr">
        <is>
          <t>#8</t>
        </is>
      </c>
    </row>
    <row r="23" ht="24" customHeight="1" s="171">
      <c r="B23" s="180" t="inlineStr">
        <is>
          <t>Home Carer Tax Credit (verify the 2026 rate and the €7,200 carer-income limit and taper)  [Credit_Home_Carer]</t>
        </is>
      </c>
      <c r="C23" s="211" t="n">
        <v>1950</v>
      </c>
      <c r="D23" s="212" t="inlineStr">
        <is>
          <t>Tax engine</t>
        </is>
      </c>
      <c r="E23" s="210" t="inlineStr">
        <is>
          <t>https://www.noonecasey.ie/irish-budget-2026/ · https://www.irishtaxhub.ie/blog/tax-credits-in-ireland-full-list</t>
        </is>
      </c>
      <c r="F23" s="212" t="inlineStr">
        <is>
          <t>2026</t>
        </is>
      </c>
      <c r="G23" s="213" t="inlineStr">
        <is>
          <t>Yes (secondary source, S) · VERIFY rate</t>
        </is>
      </c>
      <c r="H23" s="210" t="inlineStr">
        <is>
          <t>#9</t>
        </is>
      </c>
    </row>
    <row r="24" ht="15" customHeight="1" s="171">
      <c r="B24" s="206" t="inlineStr">
        <is>
          <t>USC 2026 (Tax engine)  ·  Set by Government · 2026 (type 1, not an input)</t>
        </is>
      </c>
      <c r="C24" s="207" t="n"/>
      <c r="D24" s="207" t="n"/>
      <c r="E24" s="207" t="n"/>
      <c r="F24" s="207" t="n"/>
      <c r="G24" s="207" t="n"/>
      <c r="H24" s="207" t="n"/>
    </row>
    <row r="25" ht="15" customHeight="1" s="171">
      <c r="B25" s="208" t="inlineStr">
        <is>
          <t>Rule (name in formulas)</t>
        </is>
      </c>
      <c r="C25" s="208" t="inlineStr">
        <is>
          <t>Value</t>
        </is>
      </c>
      <c r="D25" s="208" t="inlineStr">
        <is>
          <t>Used by</t>
        </is>
      </c>
      <c r="E25" s="208" t="inlineStr">
        <is>
          <t>Source URL</t>
        </is>
      </c>
      <c r="F25" s="208" t="inlineStr">
        <is>
          <t>Effective</t>
        </is>
      </c>
      <c r="G25" s="208" t="inlineStr">
        <is>
          <t>Verify before release?</t>
        </is>
      </c>
      <c r="H25" s="208" t="inlineStr">
        <is>
          <t>Audit #</t>
        </is>
      </c>
    </row>
    <row r="26" ht="24" customHeight="1" s="171">
      <c r="B26" s="180" t="inlineStr">
        <is>
          <t>USC exemption limit (total income)  [USC_Exempt]</t>
        </is>
      </c>
      <c r="C26" s="211" t="n">
        <v>13000</v>
      </c>
      <c r="D26" s="212" t="inlineStr">
        <is>
          <t>Tax engine</t>
        </is>
      </c>
      <c r="E26" s="210" t="inlineStr">
        <is>
          <t>https://www.raisin.com/en-ie/taxes/income-tax-rates/ · https://universityofgalway.ie/media/pensionsandinvestments/Budget-Summary-2026.pdf</t>
        </is>
      </c>
      <c r="F26" s="212" t="inlineStr">
        <is>
          <t>2026</t>
        </is>
      </c>
      <c r="G26" s="213" t="inlineStr">
        <is>
          <t>Yes (primary page quoted, P)</t>
        </is>
      </c>
      <c r="H26" s="210" t="inlineStr">
        <is>
          <t>#15</t>
        </is>
      </c>
    </row>
    <row r="27" ht="24" customHeight="1" s="171">
      <c r="B27" s="180" t="inlineStr">
        <is>
          <t>USC band 1 top  [USC_Band_1]</t>
        </is>
      </c>
      <c r="C27" s="211" t="n">
        <v>12012</v>
      </c>
      <c r="D27" s="212" t="inlineStr">
        <is>
          <t>Tax engine</t>
        </is>
      </c>
      <c r="E27" s="210" t="inlineStr">
        <is>
          <t>https://www.raisin.com/en-ie/taxes/income-tax-rates/ · https://universityofgalway.ie/media/pensionsandinvestments/Budget-Summary-2026.pdf</t>
        </is>
      </c>
      <c r="F27" s="212" t="inlineStr">
        <is>
          <t>1 Jan 2026</t>
        </is>
      </c>
      <c r="G27" s="213" t="inlineStr">
        <is>
          <t>Yes (primary page quoted, P)</t>
        </is>
      </c>
      <c r="H27" s="210" t="inlineStr">
        <is>
          <t>#14</t>
        </is>
      </c>
    </row>
    <row r="28" ht="24" customHeight="1" s="171">
      <c r="B28" s="180" t="inlineStr">
        <is>
          <t>USC band 2 top (raised by €1,318 in Budget 2026)  [USC_Band_2]</t>
        </is>
      </c>
      <c r="C28" s="211" t="n">
        <v>28700</v>
      </c>
      <c r="D28" s="212" t="inlineStr">
        <is>
          <t>Tax engine</t>
        </is>
      </c>
      <c r="E28" s="210" t="inlineStr">
        <is>
          <t>https://www.raisin.com/en-ie/taxes/income-tax-rates/ · https://universityofgalway.ie/media/pensionsandinvestments/Budget-Summary-2026.pdf</t>
        </is>
      </c>
      <c r="F28" s="212" t="inlineStr">
        <is>
          <t>1 Jan 2026</t>
        </is>
      </c>
      <c r="G28" s="213" t="inlineStr">
        <is>
          <t>Yes (primary page quoted, P)</t>
        </is>
      </c>
      <c r="H28" s="210" t="inlineStr">
        <is>
          <t>#14</t>
        </is>
      </c>
    </row>
    <row r="29" ht="24" customHeight="1" s="171">
      <c r="B29" s="180" t="inlineStr">
        <is>
          <t>USC band 3 top  [USC_Band_3]</t>
        </is>
      </c>
      <c r="C29" s="211" t="n">
        <v>70044</v>
      </c>
      <c r="D29" s="212" t="inlineStr">
        <is>
          <t>Tax engine</t>
        </is>
      </c>
      <c r="E29" s="210" t="inlineStr">
        <is>
          <t>https://www.raisin.com/en-ie/taxes/income-tax-rates/ · https://universityofgalway.ie/media/pensionsandinvestments/Budget-Summary-2026.pdf</t>
        </is>
      </c>
      <c r="F29" s="212" t="inlineStr">
        <is>
          <t>1 Jan 2026</t>
        </is>
      </c>
      <c r="G29" s="213" t="inlineStr">
        <is>
          <t>Yes (primary page quoted, P)</t>
        </is>
      </c>
      <c r="H29" s="210" t="inlineStr">
        <is>
          <t>#14</t>
        </is>
      </c>
    </row>
    <row r="30" ht="24" customHeight="1" s="171">
      <c r="B30" s="180" t="inlineStr">
        <is>
          <t>USC rate band 1  [USC_Rate_1]</t>
        </is>
      </c>
      <c r="C30" s="215" t="n">
        <v>0.005</v>
      </c>
      <c r="D30" s="212" t="inlineStr">
        <is>
          <t>Tax engine</t>
        </is>
      </c>
      <c r="E30" s="210" t="inlineStr">
        <is>
          <t>https://www.raisin.com/en-ie/taxes/income-tax-rates/ · https://universityofgalway.ie/media/pensionsandinvestments/Budget-Summary-2026.pdf</t>
        </is>
      </c>
      <c r="F30" s="212" t="inlineStr">
        <is>
          <t>2026</t>
        </is>
      </c>
      <c r="G30" s="213" t="inlineStr">
        <is>
          <t>Yes (primary page quoted, P)</t>
        </is>
      </c>
      <c r="H30" s="210" t="inlineStr">
        <is>
          <t>#14</t>
        </is>
      </c>
    </row>
    <row r="31" ht="24" customHeight="1" s="171">
      <c r="B31" s="180" t="inlineStr">
        <is>
          <t>USC rate band 2  [USC_Rate_2]</t>
        </is>
      </c>
      <c r="C31" s="215" t="n">
        <v>0.02</v>
      </c>
      <c r="D31" s="212" t="inlineStr">
        <is>
          <t>Tax engine</t>
        </is>
      </c>
      <c r="E31" s="210" t="inlineStr">
        <is>
          <t>https://www.raisin.com/en-ie/taxes/income-tax-rates/ · https://universityofgalway.ie/media/pensionsandinvestments/Budget-Summary-2026.pdf</t>
        </is>
      </c>
      <c r="F31" s="212" t="inlineStr">
        <is>
          <t>2026</t>
        </is>
      </c>
      <c r="G31" s="213" t="inlineStr">
        <is>
          <t>Yes (primary page quoted, P)</t>
        </is>
      </c>
      <c r="H31" s="210" t="inlineStr">
        <is>
          <t>#14</t>
        </is>
      </c>
    </row>
    <row r="32" ht="24" customHeight="1" s="171">
      <c r="B32" s="180" t="inlineStr">
        <is>
          <t>USC rate band 3  [USC_Rate_3]</t>
        </is>
      </c>
      <c r="C32" s="215" t="n">
        <v>0.03</v>
      </c>
      <c r="D32" s="212" t="inlineStr">
        <is>
          <t>Tax engine</t>
        </is>
      </c>
      <c r="E32" s="210" t="inlineStr">
        <is>
          <t>https://www.raisin.com/en-ie/taxes/income-tax-rates/ · https://universityofgalway.ie/media/pensionsandinvestments/Budget-Summary-2026.pdf</t>
        </is>
      </c>
      <c r="F32" s="212" t="inlineStr">
        <is>
          <t>2026</t>
        </is>
      </c>
      <c r="G32" s="213" t="inlineStr">
        <is>
          <t>Yes (primary page quoted, P)</t>
        </is>
      </c>
      <c r="H32" s="210" t="inlineStr">
        <is>
          <t>#14</t>
        </is>
      </c>
    </row>
    <row r="33" ht="24" customHeight="1" s="171">
      <c r="B33" s="180" t="inlineStr">
        <is>
          <t>USC rate above band 3  [USC_Rate_4]</t>
        </is>
      </c>
      <c r="C33" s="215" t="n">
        <v>0.08</v>
      </c>
      <c r="D33" s="212" t="inlineStr">
        <is>
          <t>Tax engine</t>
        </is>
      </c>
      <c r="E33" s="210" t="inlineStr">
        <is>
          <t>https://www.raisin.com/en-ie/taxes/income-tax-rates/ · https://universityofgalway.ie/media/pensionsandinvestments/Budget-Summary-2026.pdf</t>
        </is>
      </c>
      <c r="F33" s="212" t="inlineStr">
        <is>
          <t>2026</t>
        </is>
      </c>
      <c r="G33" s="213" t="inlineStr">
        <is>
          <t>Yes (primary page quoted, P)</t>
        </is>
      </c>
      <c r="H33" s="210" t="inlineStr">
        <is>
          <t>#14</t>
        </is>
      </c>
    </row>
    <row r="34" ht="39.75" customHeight="1" s="171">
      <c r="B34" s="209" t="inlineStr">
        <is>
          <t>Reduced USC (0.5% / 2%) applies at 70+ (and to full medical-card holders) with income ≤ €60,000; not used by these calculators. The State Pension and other DSP payments are USC-exempt but are taxable income for income tax.</t>
        </is>
      </c>
      <c r="E34" s="210" t="inlineStr">
        <is>
          <t>https://www.raisin.com/en-ie/taxes/income-tax-rates/ · https://universityofgalway.ie/media/pensionsandinvestments/Budget-Summary-2026.pdf</t>
        </is>
      </c>
    </row>
    <row r="35" ht="15" customHeight="1" s="171">
      <c r="B35" s="206" t="inlineStr">
        <is>
          <t>PRSI CLASS A (Tax engine)  ·  Set by Government · 2026 (type 1, not an input)</t>
        </is>
      </c>
      <c r="C35" s="207" t="n"/>
      <c r="D35" s="207" t="n"/>
      <c r="E35" s="207" t="n"/>
      <c r="F35" s="207" t="n"/>
      <c r="G35" s="207" t="n"/>
      <c r="H35" s="207" t="n"/>
    </row>
    <row r="36" ht="15" customHeight="1" s="171">
      <c r="B36" s="208" t="inlineStr">
        <is>
          <t>Rule (name in formulas)</t>
        </is>
      </c>
      <c r="C36" s="208" t="inlineStr">
        <is>
          <t>Value</t>
        </is>
      </c>
      <c r="D36" s="208" t="inlineStr">
        <is>
          <t>Used by</t>
        </is>
      </c>
      <c r="E36" s="208" t="inlineStr">
        <is>
          <t>Source URL</t>
        </is>
      </c>
      <c r="F36" s="208" t="inlineStr">
        <is>
          <t>Effective</t>
        </is>
      </c>
      <c r="G36" s="208" t="inlineStr">
        <is>
          <t>Verify before release?</t>
        </is>
      </c>
      <c r="H36" s="208" t="inlineStr">
        <is>
          <t>Audit #</t>
        </is>
      </c>
    </row>
    <row r="37" ht="24" customHeight="1" s="171">
      <c r="B37" s="180" t="inlineStr">
        <is>
          <t>Employee PRSI rate from 1 Oct 2026  [PRSI_Rate]</t>
        </is>
      </c>
      <c r="C37" s="216" t="n">
        <v>0.0435</v>
      </c>
      <c r="D37" s="212" t="inlineStr">
        <is>
          <t>Tax engine</t>
        </is>
      </c>
      <c r="E37" s="210" t="inlineStr">
        <is>
          <t>https://www.gov.ie/en/publication/ffa563-prsi-class-a-rates · https://www.bdo.ie/en-gb/insights/2025/upcoming-prsi-rate-changes-effective-1st-october-2025</t>
        </is>
      </c>
      <c r="F37" s="212" t="inlineStr">
        <is>
          <t>1 Oct 2026</t>
        </is>
      </c>
      <c r="G37" s="213" t="inlineStr">
        <is>
          <t>Yes (primary page quoted, P)</t>
        </is>
      </c>
      <c r="H37" s="210" t="inlineStr">
        <is>
          <t>#19</t>
        </is>
      </c>
    </row>
    <row r="38" ht="24" customHeight="1" s="171">
      <c r="B38" s="180" t="inlineStr">
        <is>
          <t>Employee PRSI, calendar-2026 blend (9 months at 4.2%, 3 at 4.35%)  [PRSI_Rate_2026_Blend]</t>
        </is>
      </c>
      <c r="C38" s="217" t="n">
        <v>0.042375</v>
      </c>
      <c r="D38" s="212" t="inlineStr">
        <is>
          <t>Tax engine (option)</t>
        </is>
      </c>
      <c r="E38" s="210" t="inlineStr">
        <is>
          <t>https://www.gov.ie/en/publication/ffa563-prsi-class-a-rates · https://www.bdo.ie/en-gb/insights/2025/upcoming-prsi-rate-changes-effective-1st-october-2025</t>
        </is>
      </c>
      <c r="F38" s="212" t="inlineStr">
        <is>
          <t>2026</t>
        </is>
      </c>
      <c r="G38" s="213" t="inlineStr">
        <is>
          <t>Yes (primary page quoted, P)</t>
        </is>
      </c>
      <c r="H38" s="210" t="inlineStr">
        <is>
          <t>#20</t>
        </is>
      </c>
    </row>
    <row r="39" ht="24" customHeight="1" s="171">
      <c r="B39" s="180" t="inlineStr">
        <is>
          <t>PRSI-free weekly earnings (nil up to)  [PRSI_Free_Week]</t>
        </is>
      </c>
      <c r="C39" s="211" t="n">
        <v>352</v>
      </c>
      <c r="D39" s="212" t="inlineStr">
        <is>
          <t>Tax engine</t>
        </is>
      </c>
      <c r="E39" s="210" t="inlineStr">
        <is>
          <t>https://payslipiq.co.uk/ie/methodology/prsi · https://www.gov.ie/en/publication/ffa563-prsi-class-a-rates · https://www.bdo.ie/en-gb/insights/2025/upcoming-prsi-rate-changes-effective-1st-october-2025</t>
        </is>
      </c>
      <c r="F39" s="212" t="inlineStr">
        <is>
          <t>2026</t>
        </is>
      </c>
      <c r="G39" s="213" t="inlineStr">
        <is>
          <t>Yes (primary page quoted, P)</t>
        </is>
      </c>
      <c r="H39" s="210" t="inlineStr">
        <is>
          <t>#21</t>
        </is>
      </c>
    </row>
    <row r="40" ht="24" customHeight="1" s="171">
      <c r="B40" s="180" t="inlineStr">
        <is>
          <t>PRSI credit, maximum a week  [PRSI_Credit_Max]</t>
        </is>
      </c>
      <c r="C40" s="211" t="n">
        <v>12</v>
      </c>
      <c r="D40" s="212" t="inlineStr">
        <is>
          <t>Tax engine</t>
        </is>
      </c>
      <c r="E40" s="210" t="inlineStr">
        <is>
          <t>As above</t>
        </is>
      </c>
      <c r="F40" s="212" t="inlineStr">
        <is>
          <t>2026</t>
        </is>
      </c>
      <c r="G40" s="213" t="inlineStr">
        <is>
          <t>Yes (primary page quoted, P)</t>
        </is>
      </c>
      <c r="H40" s="210" t="inlineStr">
        <is>
          <t>#21</t>
        </is>
      </c>
    </row>
    <row r="41" ht="24" customHeight="1" s="171">
      <c r="B41" s="180" t="inlineStr">
        <is>
          <t>PRSI credit ends at weekly earnings of  [PRSI_Credit_Top]</t>
        </is>
      </c>
      <c r="C41" s="211" t="n">
        <v>424</v>
      </c>
      <c r="D41" s="212" t="inlineStr">
        <is>
          <t>Tax engine</t>
        </is>
      </c>
      <c r="E41" s="210" t="inlineStr">
        <is>
          <t>As above</t>
        </is>
      </c>
      <c r="F41" s="212" t="inlineStr">
        <is>
          <t>2026</t>
        </is>
      </c>
      <c r="G41" s="213" t="inlineStr">
        <is>
          <t>Yes (primary page quoted, P)</t>
        </is>
      </c>
      <c r="H41" s="210" t="inlineStr">
        <is>
          <t>#21</t>
        </is>
      </c>
    </row>
    <row r="42" ht="24" customHeight="1" s="171">
      <c r="B42" s="180" t="inlineStr">
        <is>
          <t>PRSI credit tapers by €1 for every … over €352.01  [PRSI_Credit_Taper]</t>
        </is>
      </c>
      <c r="C42" s="218" t="n">
        <v>6</v>
      </c>
      <c r="D42" s="212" t="inlineStr">
        <is>
          <t>Tax engine</t>
        </is>
      </c>
      <c r="E42" s="210" t="inlineStr">
        <is>
          <t>As above</t>
        </is>
      </c>
      <c r="F42" s="212" t="inlineStr">
        <is>
          <t>2026</t>
        </is>
      </c>
      <c r="G42" s="213" t="inlineStr">
        <is>
          <t>Yes (primary page quoted, P)</t>
        </is>
      </c>
      <c r="H42" s="210" t="inlineStr">
        <is>
          <t>#21</t>
        </is>
      </c>
    </row>
    <row r="43" ht="39.75" customHeight="1" s="171">
      <c r="B43" s="209" t="inlineStr">
        <is>
          <t>No PRSI from age 66, including while still working (#22). Legislated path: 4.5% from 1 Oct 2027, 4.7% from 1 Oct 2028.</t>
        </is>
      </c>
      <c r="E43" s="210" t="inlineStr">
        <is>
          <t>https://www.oireachtas.ie/en/debates/question/2018-11-21/241/ · https://www.gov.ie/en/publication/ffa563-prsi-class-a-rates · https://www.bdo.ie/en-gb/insights/2025/upcoming-prsi-rate-changes-effective-1st-october-2025</t>
        </is>
      </c>
    </row>
    <row r="44" ht="15" customHeight="1" s="171">
      <c r="B44" s="206" t="inlineStr">
        <is>
          <t>PENSIONS  ·  Set by Government · 2026 (type 1, not an input)</t>
        </is>
      </c>
      <c r="C44" s="207" t="n"/>
      <c r="D44" s="207" t="n"/>
      <c r="E44" s="207" t="n"/>
      <c r="F44" s="207" t="n"/>
      <c r="G44" s="207" t="n"/>
      <c r="H44" s="207" t="n"/>
    </row>
    <row r="45" ht="15" customHeight="1" s="171">
      <c r="B45" s="208" t="inlineStr">
        <is>
          <t>Rule (name in formulas)</t>
        </is>
      </c>
      <c r="C45" s="208" t="inlineStr">
        <is>
          <t>Value</t>
        </is>
      </c>
      <c r="D45" s="208" t="inlineStr">
        <is>
          <t>Used by</t>
        </is>
      </c>
      <c r="E45" s="208" t="inlineStr">
        <is>
          <t>Source URL</t>
        </is>
      </c>
      <c r="F45" s="208" t="inlineStr">
        <is>
          <t>Effective</t>
        </is>
      </c>
      <c r="G45" s="208" t="inlineStr">
        <is>
          <t>Verify before release?</t>
        </is>
      </c>
      <c r="H45" s="208" t="inlineStr">
        <is>
          <t>Audit #</t>
        </is>
      </c>
    </row>
    <row r="46" ht="15" customHeight="1" s="171">
      <c r="B46" s="180" t="inlineStr">
        <is>
          <t>Pension relief limit from age 0: % of earnings  [Relief_Age_From / Relief_Age_Pct]</t>
        </is>
      </c>
      <c r="C46" s="219" t="n">
        <v>0</v>
      </c>
      <c r="D46" s="214" t="n">
        <v>0.15</v>
      </c>
      <c r="E46" s="220" t="inlineStr">
        <is>
          <t>https://www.irishtaxhub.ie/blog/pension-contributions-income-tax-maximize-your-relief · https://yourincomecalculator.com/ie/blog/pension-tax-relief-ireland-2026-higher-earners-guide</t>
        </is>
      </c>
      <c r="F46" s="185" t="inlineStr">
        <is>
          <t>Unchanged</t>
        </is>
      </c>
      <c r="G46" s="221" t="inlineStr">
        <is>
          <t>Yes (secondary source, S)</t>
        </is>
      </c>
      <c r="H46" s="220" t="inlineStr">
        <is>
          <t>#26</t>
        </is>
      </c>
    </row>
    <row r="47" ht="15" customHeight="1" s="171">
      <c r="B47" s="180" t="inlineStr">
        <is>
          <t>Pension relief limit from age 30: % of earnings  [Relief_Age_From / Relief_Age_Pct]</t>
        </is>
      </c>
      <c r="C47" s="219" t="n">
        <v>30</v>
      </c>
      <c r="D47" s="214" t="n">
        <v>0.2</v>
      </c>
      <c r="E47" s="220" t="inlineStr">
        <is>
          <t>https://www.irishtaxhub.ie/blog/pension-contributions-income-tax-maximize-your-relief · https://yourincomecalculator.com/ie/blog/pension-tax-relief-ireland-2026-higher-earners-guide</t>
        </is>
      </c>
      <c r="F47" s="185" t="inlineStr">
        <is>
          <t>Unchanged</t>
        </is>
      </c>
      <c r="G47" s="221" t="inlineStr">
        <is>
          <t>Yes (secondary source, S)</t>
        </is>
      </c>
      <c r="H47" s="220" t="inlineStr">
        <is>
          <t>#26</t>
        </is>
      </c>
    </row>
    <row r="48" ht="15" customHeight="1" s="171">
      <c r="B48" s="180" t="inlineStr">
        <is>
          <t>Pension relief limit from age 40: % of earnings  [Relief_Age_From / Relief_Age_Pct]</t>
        </is>
      </c>
      <c r="C48" s="219" t="n">
        <v>40</v>
      </c>
      <c r="D48" s="214" t="n">
        <v>0.25</v>
      </c>
      <c r="E48" s="220" t="inlineStr">
        <is>
          <t>https://www.irishtaxhub.ie/blog/pension-contributions-income-tax-maximize-your-relief · https://yourincomecalculator.com/ie/blog/pension-tax-relief-ireland-2026-higher-earners-guide</t>
        </is>
      </c>
      <c r="F48" s="185" t="inlineStr">
        <is>
          <t>Unchanged</t>
        </is>
      </c>
      <c r="G48" s="221" t="inlineStr">
        <is>
          <t>Yes (secondary source, S)</t>
        </is>
      </c>
      <c r="H48" s="220" t="inlineStr">
        <is>
          <t>#26</t>
        </is>
      </c>
    </row>
    <row r="49" ht="15" customHeight="1" s="171">
      <c r="B49" s="180" t="inlineStr">
        <is>
          <t>Pension relief limit from age 50: % of earnings  [Relief_Age_From / Relief_Age_Pct]</t>
        </is>
      </c>
      <c r="C49" s="219" t="n">
        <v>50</v>
      </c>
      <c r="D49" s="214" t="n">
        <v>0.3</v>
      </c>
      <c r="E49" s="220" t="inlineStr">
        <is>
          <t>https://www.irishtaxhub.ie/blog/pension-contributions-income-tax-maximize-your-relief · https://yourincomecalculator.com/ie/blog/pension-tax-relief-ireland-2026-higher-earners-guide</t>
        </is>
      </c>
      <c r="F49" s="185" t="inlineStr">
        <is>
          <t>Unchanged</t>
        </is>
      </c>
      <c r="G49" s="221" t="inlineStr">
        <is>
          <t>Yes (secondary source, S)</t>
        </is>
      </c>
      <c r="H49" s="220" t="inlineStr">
        <is>
          <t>#26</t>
        </is>
      </c>
    </row>
    <row r="50" ht="15" customHeight="1" s="171">
      <c r="B50" s="180" t="inlineStr">
        <is>
          <t>Pension relief limit from age 55: % of earnings  [Relief_Age_From / Relief_Age_Pct]</t>
        </is>
      </c>
      <c r="C50" s="219" t="n">
        <v>55</v>
      </c>
      <c r="D50" s="214" t="n">
        <v>0.35</v>
      </c>
      <c r="E50" s="220" t="inlineStr">
        <is>
          <t>https://www.irishtaxhub.ie/blog/pension-contributions-income-tax-maximize-your-relief · https://yourincomecalculator.com/ie/blog/pension-tax-relief-ireland-2026-higher-earners-guide</t>
        </is>
      </c>
      <c r="F50" s="185" t="inlineStr">
        <is>
          <t>Unchanged</t>
        </is>
      </c>
      <c r="G50" s="221" t="inlineStr">
        <is>
          <t>Yes (secondary source, S)</t>
        </is>
      </c>
      <c r="H50" s="220" t="inlineStr">
        <is>
          <t>#26</t>
        </is>
      </c>
    </row>
    <row r="51" ht="15" customHeight="1" s="171">
      <c r="B51" s="180" t="inlineStr">
        <is>
          <t>Pension relief limit from age 60: % of earnings  [Relief_Age_From / Relief_Age_Pct]</t>
        </is>
      </c>
      <c r="C51" s="219" t="n">
        <v>60</v>
      </c>
      <c r="D51" s="214" t="n">
        <v>0.4</v>
      </c>
      <c r="E51" s="220" t="inlineStr">
        <is>
          <t>https://www.irishtaxhub.ie/blog/pension-contributions-income-tax-maximize-your-relief · https://yourincomecalculator.com/ie/blog/pension-tax-relief-ireland-2026-higher-earners-guide</t>
        </is>
      </c>
      <c r="F51" s="185" t="inlineStr">
        <is>
          <t>Unchanged</t>
        </is>
      </c>
      <c r="G51" s="221" t="inlineStr">
        <is>
          <t>Yes (secondary source, S)</t>
        </is>
      </c>
      <c r="H51" s="220" t="inlineStr">
        <is>
          <t>#26</t>
        </is>
      </c>
    </row>
    <row r="52" ht="24" customHeight="1" s="171">
      <c r="B52" s="180" t="inlineStr">
        <is>
          <t>Earnings cap for pension relief  [Relief_Earnings_Cap]</t>
        </is>
      </c>
      <c r="C52" s="211" t="n">
        <v>115000</v>
      </c>
      <c r="D52" s="212" t="inlineStr">
        <is>
          <t>C13, C14</t>
        </is>
      </c>
      <c r="E52" s="210" t="inlineStr">
        <is>
          <t>https://www.irishtaxhub.ie/blog/pension-contributions-income-tax-maximize-your-relief · https://yourincomecalculator.com/ie/blog/pension-tax-relief-ireland-2026-higher-earners-guide</t>
        </is>
      </c>
      <c r="F52" s="212" t="inlineStr">
        <is>
          <t>Unchanged</t>
        </is>
      </c>
      <c r="G52" s="213" t="inlineStr">
        <is>
          <t>Yes (secondary source, S)</t>
        </is>
      </c>
      <c r="H52" s="210" t="inlineStr">
        <is>
          <t>#27</t>
        </is>
      </c>
    </row>
    <row r="53" ht="24" customHeight="1" s="171">
      <c r="B53" s="180" t="inlineStr">
        <is>
          <t>Retirement lump sum: up to this share of the fund  [Lump_Sum_Max_Pct]</t>
        </is>
      </c>
      <c r="C53" s="214" t="n">
        <v>0.25</v>
      </c>
      <c r="D53" s="212" t="inlineStr">
        <is>
          <t>C12</t>
        </is>
      </c>
      <c r="E53" s="210" t="inlineStr">
        <is>
          <t>https://wtwco.com/en-ie/insights/2024/10/significant-revisions-announced-to-the-standard-fund-threshold · https://pwc.ie/services/workforce/insights/finance-act-2024-pensions-pulse.html</t>
        </is>
      </c>
      <c r="F53" s="212" t="inlineStr">
        <is>
          <t>Finance Act 2024</t>
        </is>
      </c>
      <c r="G53" s="213" t="inlineStr">
        <is>
          <t>Yes (secondary source, S)</t>
        </is>
      </c>
      <c r="H53" s="210" t="inlineStr">
        <is>
          <t>#31</t>
        </is>
      </c>
    </row>
    <row r="54" ht="24" customHeight="1" s="171">
      <c r="B54" s="180" t="inlineStr">
        <is>
          <t>Lump sum: tax-free (lifetime)  [Lump_Sum_Tax_Free]</t>
        </is>
      </c>
      <c r="C54" s="211" t="n">
        <v>200000</v>
      </c>
      <c r="D54" s="212" t="inlineStr">
        <is>
          <t>C12</t>
        </is>
      </c>
      <c r="E54" s="210" t="inlineStr">
        <is>
          <t>https://wtwco.com/en-ie/insights/2024/10/significant-revisions-announced-to-the-standard-fund-threshold · https://pwc.ie/services/workforce/insights/finance-act-2024-pensions-pulse.html</t>
        </is>
      </c>
      <c r="F54" s="212" t="inlineStr">
        <is>
          <t>Finance Act 2024</t>
        </is>
      </c>
      <c r="G54" s="213" t="inlineStr">
        <is>
          <t>Yes (secondary source, S)</t>
        </is>
      </c>
      <c r="H54" s="210" t="inlineStr">
        <is>
          <t>#31</t>
        </is>
      </c>
    </row>
    <row r="55" ht="24" customHeight="1" s="171">
      <c r="B55" s="180" t="inlineStr">
        <is>
          <t>Lump sum: taxed at 20% from €200,001 up to  [Lump_Sum_Cap]; above this the excess is taxed at the higher rate [Rate_Higher] (verify on Revenue)</t>
        </is>
      </c>
      <c r="C55" s="211" t="n">
        <v>500000</v>
      </c>
      <c r="D55" s="212" t="inlineStr">
        <is>
          <t>C12</t>
        </is>
      </c>
      <c r="E55" s="210" t="inlineStr">
        <is>
          <t>https://wtwco.com/en-ie/insights/2024/10/significant-revisions-announced-to-the-standard-fund-threshold · https://pwc.ie/services/workforce/insights/finance-act-2024-pensions-pulse.html</t>
        </is>
      </c>
      <c r="F55" s="212" t="inlineStr">
        <is>
          <t>Finance Act 2024</t>
        </is>
      </c>
      <c r="G55" s="213" t="inlineStr">
        <is>
          <t>Yes (secondary source, S)</t>
        </is>
      </c>
      <c r="H55" s="210" t="inlineStr">
        <is>
          <t>#31</t>
        </is>
      </c>
    </row>
    <row r="56" ht="24" customHeight="1" s="171">
      <c r="B56" s="180" t="inlineStr">
        <is>
          <t>Lump sum tax rate on €200,001–€500,000 (above €500,000: marginal rate)  [Lump_Sum_Rate]</t>
        </is>
      </c>
      <c r="C56" s="214" t="n">
        <v>0.2</v>
      </c>
      <c r="D56" s="212" t="inlineStr">
        <is>
          <t>C12</t>
        </is>
      </c>
      <c r="E56" s="210" t="inlineStr">
        <is>
          <t>https://wtwco.com/en-ie/insights/2024/10/significant-revisions-announced-to-the-standard-fund-threshold · https://pwc.ie/services/workforce/insights/finance-act-2024-pensions-pulse.html</t>
        </is>
      </c>
      <c r="F56" s="212" t="inlineStr">
        <is>
          <t>Finance Act 2024</t>
        </is>
      </c>
      <c r="G56" s="213" t="inlineStr">
        <is>
          <t>Yes (secondary source, S)</t>
        </is>
      </c>
      <c r="H56" s="210" t="inlineStr">
        <is>
          <t>#31</t>
        </is>
      </c>
    </row>
    <row r="57" ht="24" customHeight="1" s="171">
      <c r="B57" s="180" t="inlineStr">
        <is>
          <t>Standard Fund Threshold 2026 (€2.4m 2027, €2.6m 2028, €2.8m 2029)  [SFT_2026]</t>
        </is>
      </c>
      <c r="C57" s="211" t="n">
        <v>2200000</v>
      </c>
      <c r="D57" s="212" t="inlineStr">
        <is>
          <t>C12 warning</t>
        </is>
      </c>
      <c r="E57" s="210" t="inlineStr">
        <is>
          <t>https://wtwco.com/en-ie/insights/2024/10/significant-revisions-announced-to-the-standard-fund-threshold · https://pwc.ie/services/workforce/insights/finance-act-2024-pensions-pulse.html</t>
        </is>
      </c>
      <c r="F57" s="212" t="inlineStr">
        <is>
          <t>1 Jan 2026</t>
        </is>
      </c>
      <c r="G57" s="213" t="inlineStr">
        <is>
          <t>Yes (secondary source, S)</t>
        </is>
      </c>
      <c r="H57" s="210" t="inlineStr">
        <is>
          <t>#32</t>
        </is>
      </c>
    </row>
    <row r="58" ht="24" customHeight="1" s="171">
      <c r="B58" s="180" t="inlineStr">
        <is>
          <t>Chargeable excess tax above the threshold  [SFT_Tax]</t>
        </is>
      </c>
      <c r="C58" s="214" t="n">
        <v>0.4</v>
      </c>
      <c r="D58" s="212" t="inlineStr">
        <is>
          <t>C12 warning</t>
        </is>
      </c>
      <c r="E58" s="210" t="inlineStr">
        <is>
          <t>https://wtwco.com/en-ie/insights/2024/10/significant-revisions-announced-to-the-standard-fund-threshold · https://pwc.ie/services/workforce/insights/finance-act-2024-pensions-pulse.html</t>
        </is>
      </c>
      <c r="F58" s="212" t="inlineStr">
        <is>
          <t>Law</t>
        </is>
      </c>
      <c r="G58" s="213" t="inlineStr">
        <is>
          <t>Yes (secondary source, S)</t>
        </is>
      </c>
      <c r="H58" s="210" t="inlineStr">
        <is>
          <t>#32</t>
        </is>
      </c>
    </row>
    <row r="59" ht="24" customHeight="1" s="171">
      <c r="B59" s="180" t="inlineStr">
        <is>
          <t>Earliest age for PRSA / personal pension benefits (occupational: from 50 if you have left that job)  [Pension_Earliest_Age]</t>
        </is>
      </c>
      <c r="C59" s="218" t="n">
        <v>60</v>
      </c>
      <c r="D59" s="212" t="inlineStr">
        <is>
          <t>C12 warning</t>
        </is>
      </c>
      <c r="E59" s="210" t="inlineStr">
        <is>
          <t>Revenue Pensions Manual (verify)</t>
        </is>
      </c>
      <c r="F59" s="212" t="inlineStr">
        <is>
          <t>Law</t>
        </is>
      </c>
      <c r="G59" s="213" t="inlineStr">
        <is>
          <t>Yes (primary page quoted, P) · VERIFY</t>
        </is>
      </c>
      <c r="H59" s="210" t="inlineStr">
        <is>
          <t>#36</t>
        </is>
      </c>
    </row>
    <row r="60" ht="39.75" customHeight="1" s="171">
      <c r="B60" s="209" t="inlineStr">
        <is>
          <t>Standard Fund Threshold €2.2m (2026) → €2.4m (2027) → €2.6m (2028) → €2.8m (2029), chargeable excess tax 40%: not modelled by these calculators. ARF minimum 4% from the year you turn 61, 5% from 71, 6% if ARFs + vested PRSAs exceed €2m. Most pensions cannot be taken before 60.</t>
        </is>
      </c>
      <c r="E60" s="210"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6" t="inlineStr">
        <is>
          <t>STATE PENSION AND DSP PAYMENTS 2026 (weekly rates)  ·  Set by Government · 2026 (type 1, not an input)</t>
        </is>
      </c>
      <c r="C61" s="207" t="n"/>
      <c r="D61" s="207" t="n"/>
      <c r="E61" s="207" t="n"/>
      <c r="F61" s="207" t="n"/>
      <c r="G61" s="207" t="n"/>
      <c r="H61" s="207" t="n"/>
    </row>
    <row r="62" ht="15" customHeight="1" s="171">
      <c r="B62" s="208" t="inlineStr">
        <is>
          <t>Rule (name in formulas)</t>
        </is>
      </c>
      <c r="C62" s="208" t="inlineStr">
        <is>
          <t>Value</t>
        </is>
      </c>
      <c r="D62" s="208" t="inlineStr">
        <is>
          <t>Used by</t>
        </is>
      </c>
      <c r="E62" s="208" t="inlineStr">
        <is>
          <t>Source URL</t>
        </is>
      </c>
      <c r="F62" s="208" t="inlineStr">
        <is>
          <t>Effective</t>
        </is>
      </c>
      <c r="G62" s="208" t="inlineStr">
        <is>
          <t>Verify before release?</t>
        </is>
      </c>
      <c r="H62" s="208" t="inlineStr">
        <is>
          <t>Audit #</t>
        </is>
      </c>
    </row>
    <row r="63" ht="24" customHeight="1" s="171">
      <c r="B63" s="180" t="inlineStr">
        <is>
          <t>State Pension (Contributory), maximum personal rate (taxable; USC-exempt)  [State_Pension_Week]</t>
        </is>
      </c>
      <c r="C63" s="222" t="n">
        <v>299.3</v>
      </c>
      <c r="D63" s="212" t="inlineStr">
        <is>
          <t>C12 other income (pre-fill)</t>
        </is>
      </c>
      <c r="E63" s="210" t="inlineStr">
        <is>
          <t>https://www.gov.ie/en/publication/927721-state-pension-contributory-rates/ · https://www.zurich.ie/blog/pension-changes-2026</t>
        </is>
      </c>
      <c r="F63" s="212" t="inlineStr">
        <is>
          <t>1 Jan 2026</t>
        </is>
      </c>
      <c r="G63" s="213" t="inlineStr">
        <is>
          <t>Yes (primary page quoted, P)</t>
        </is>
      </c>
      <c r="H63" s="210" t="inlineStr">
        <is>
          <t>#39</t>
        </is>
      </c>
    </row>
    <row r="64" ht="24" customHeight="1" s="171">
      <c r="B64" s="180" t="inlineStr">
        <is>
          <t>State Pension a year (€299.30 × 52)  [State_Pension_Year]</t>
        </is>
      </c>
      <c r="C64" s="222" t="n">
        <v>15563.6</v>
      </c>
      <c r="D64" s="212" t="inlineStr">
        <is>
          <t>C12 default other income</t>
        </is>
      </c>
      <c r="E64" s="210" t="inlineStr">
        <is>
          <t>https://www.gov.ie/en/publication/927721-state-pension-contributory-rates/ · https://www.zurich.ie/blog/pension-changes-2026</t>
        </is>
      </c>
      <c r="F64" s="212" t="inlineStr">
        <is>
          <t>1 Jan 2026</t>
        </is>
      </c>
      <c r="G64" s="213" t="inlineStr">
        <is>
          <t>Yes (primary page quoted, P)</t>
        </is>
      </c>
      <c r="H64" s="210" t="inlineStr">
        <is>
          <t>#39</t>
        </is>
      </c>
    </row>
    <row r="65" ht="24" customHeight="1" s="171">
      <c r="B65" s="180" t="inlineStr">
        <is>
          <t>State Pension age  [State_Pension_Age]</t>
        </is>
      </c>
      <c r="C65" s="218" t="n">
        <v>66</v>
      </c>
      <c r="D65" s="212" t="inlineStr">
        <is>
          <t>C12 (bridge years before 66)</t>
        </is>
      </c>
      <c r="E65" s="210" t="inlineStr">
        <is>
          <t>https://www.gov.ie/en/publication/d8fd8-flexible-pension-options</t>
        </is>
      </c>
      <c r="F65" s="212" t="inlineStr">
        <is>
          <t>Law</t>
        </is>
      </c>
      <c r="G65" s="213" t="inlineStr">
        <is>
          <t>Yes (primary page quoted, P)</t>
        </is>
      </c>
      <c r="H65" s="210" t="inlineStr">
        <is>
          <t>#40</t>
        </is>
      </c>
    </row>
    <row r="66" ht="24" customHeight="1" s="171">
      <c r="B66" s="180" t="inlineStr">
        <is>
          <t>Widow's / Surviving Civil Partner's / Bereaved Partner's (Contributory) Pension, under 66  [Survivor_Pension_Week]</t>
        </is>
      </c>
      <c r="C66" s="222" t="n">
        <v>259.5</v>
      </c>
      <c r="D66" s="212" t="inlineStr">
        <is>
          <t>C21</t>
        </is>
      </c>
      <c r="E66" s="210" t="inlineStr">
        <is>
          <t>https://www.raisin.com/en-ie/pensions/widow-pensions · https://www.mhc.ie/latest/insights/social-welfare-bereaved-partners-pension-and-miscellaneous-provisions-act-2025</t>
        </is>
      </c>
      <c r="F66" s="212" t="inlineStr">
        <is>
          <t>1 Jan 2026</t>
        </is>
      </c>
      <c r="G66" s="213" t="inlineStr">
        <is>
          <t>Yes (secondary source, S)</t>
        </is>
      </c>
      <c r="H66" s="210" t="inlineStr">
        <is>
          <t>#46</t>
        </is>
      </c>
    </row>
    <row r="67" ht="24" customHeight="1" s="171">
      <c r="B67" s="180" t="inlineStr">
        <is>
          <t>Survivor's pension at 66+  [Survivor_Pension_Week_66]</t>
        </is>
      </c>
      <c r="C67" s="222" t="n">
        <v>299.3</v>
      </c>
      <c r="D67" s="212" t="inlineStr">
        <is>
          <t>C21 guidance</t>
        </is>
      </c>
      <c r="E67" s="210" t="inlineStr">
        <is>
          <t>As above</t>
        </is>
      </c>
      <c r="F67" s="212" t="inlineStr">
        <is>
          <t>1 Jan 2026</t>
        </is>
      </c>
      <c r="G67" s="213" t="inlineStr">
        <is>
          <t>Yes (secondary source, S)</t>
        </is>
      </c>
      <c r="H67" s="210" t="inlineStr">
        <is>
          <t>#46</t>
        </is>
      </c>
    </row>
    <row r="68" ht="24" customHeight="1" s="171">
      <c r="B68" s="180" t="inlineStr">
        <is>
          <t>Illness Benefit, maximum personal rate (graduated if average weekly earnings &lt; €300; 3 waiting days)  [Illness_Benefit_Week]</t>
        </is>
      </c>
      <c r="C68" s="222" t="n">
        <v>254</v>
      </c>
      <c r="D68" s="212" t="inlineStr">
        <is>
          <t>C22</t>
        </is>
      </c>
      <c r="E68" s="210" t="inlineStr">
        <is>
          <t>https://www.inou.ie/assets/files/pdf/2026_-_inou_budget_factsheet.pdf</t>
        </is>
      </c>
      <c r="F68" s="212" t="inlineStr">
        <is>
          <t>1 Jan 2026</t>
        </is>
      </c>
      <c r="G68" s="213" t="inlineStr">
        <is>
          <t>Yes (secondary source, S)</t>
        </is>
      </c>
      <c r="H68" s="210" t="inlineStr">
        <is>
          <t>#45</t>
        </is>
      </c>
    </row>
    <row r="69" ht="24" customHeight="1" s="171">
      <c r="B69" s="180" t="inlineStr">
        <is>
          <t>Income protection maximum: % of gross income less State benefit (an INSURER rule, not law; varies by insurer)  [IP_Max_Pct]</t>
        </is>
      </c>
      <c r="C69" s="214" t="n">
        <v>0.75</v>
      </c>
      <c r="D69" s="212" t="inlineStr">
        <is>
          <t>C22</t>
        </is>
      </c>
      <c r="E69" s="210" t="inlineStr">
        <is>
          <t>Insurer literature (Irish Life; Smart Financial)</t>
        </is>
      </c>
      <c r="F69" s="212" t="inlineStr">
        <is>
          <t>Market practice</t>
        </is>
      </c>
      <c r="G69" s="213" t="inlineStr">
        <is>
          <t>Yes (secondary source, S) · verify with insurer partner</t>
        </is>
      </c>
      <c r="H69" s="210" t="inlineStr">
        <is>
          <t>#49</t>
        </is>
      </c>
    </row>
    <row r="70" ht="24" customHeight="1" s="171">
      <c r="B70" s="180" t="inlineStr">
        <is>
          <t>Weeks in a year  [Weeks_Per_Year]</t>
        </is>
      </c>
      <c r="C70" s="218" t="n">
        <v>52</v>
      </c>
      <c r="D70" s="212" t="inlineStr">
        <is>
          <t>C12, C21, C22, Tax engine</t>
        </is>
      </c>
      <c r="E70" s="210" t="inlineStr">
        <is>
          <t>Convention</t>
        </is>
      </c>
      <c r="F70" s="212" t="inlineStr">
        <is>
          <t>—</t>
        </is>
      </c>
      <c r="G70" s="210" t="inlineStr">
        <is>
          <t>No</t>
        </is>
      </c>
      <c r="H70" s="210" t="inlineStr">
        <is>
          <t>—</t>
        </is>
      </c>
    </row>
    <row r="71" ht="15" customHeight="1" s="171">
      <c r="B71" s="206" t="inlineStr">
        <is>
          <t>SAVINGS AND INVESTMENT TAX (notes on the growth tools)  ·  Set by Government · 2026 (type 1, not an input)</t>
        </is>
      </c>
      <c r="C71" s="207" t="n"/>
      <c r="D71" s="207" t="n"/>
      <c r="E71" s="207" t="n"/>
      <c r="F71" s="207" t="n"/>
      <c r="G71" s="207" t="n"/>
      <c r="H71" s="207" t="n"/>
    </row>
    <row r="72" ht="15" customHeight="1" s="171">
      <c r="B72" s="208" t="inlineStr">
        <is>
          <t>Rule (name in formulas)</t>
        </is>
      </c>
      <c r="C72" s="208" t="inlineStr">
        <is>
          <t>Value</t>
        </is>
      </c>
      <c r="D72" s="208" t="inlineStr">
        <is>
          <t>Used by</t>
        </is>
      </c>
      <c r="E72" s="208" t="inlineStr">
        <is>
          <t>Source URL</t>
        </is>
      </c>
      <c r="F72" s="208" t="inlineStr">
        <is>
          <t>Effective</t>
        </is>
      </c>
      <c r="G72" s="208" t="inlineStr">
        <is>
          <t>Verify before release?</t>
        </is>
      </c>
      <c r="H72" s="208" t="inlineStr">
        <is>
          <t>Audit #</t>
        </is>
      </c>
    </row>
    <row r="73" ht="24" customHeight="1" s="171">
      <c r="B73" s="180" t="inlineStr">
        <is>
          <t>DIRT on deposit interest  [DIRT]</t>
        </is>
      </c>
      <c r="C73" s="214" t="n">
        <v>0.33</v>
      </c>
      <c r="D73" s="212" t="inlineStr">
        <is>
          <t>C08–C10, C17, C18 notes</t>
        </is>
      </c>
      <c r="E73" s="210" t="inlineStr">
        <is>
          <t>https://cantorfitzgerald.ie/budget-2026-key-updates-for-investors-and-savers</t>
        </is>
      </c>
      <c r="F73" s="212" t="inlineStr">
        <is>
          <t>2026</t>
        </is>
      </c>
      <c r="G73" s="213" t="inlineStr">
        <is>
          <t>Yes (secondary source, S)</t>
        </is>
      </c>
      <c r="H73" s="210" t="inlineStr">
        <is>
          <t>#50</t>
        </is>
      </c>
    </row>
    <row r="74" ht="24" customHeight="1" s="171">
      <c r="B74" s="180" t="inlineStr">
        <is>
          <t>Exit tax on funds and life policies (was 41%; Finance Act 2025, Revenue eBrief 016/26)  [Exit_Tax]</t>
        </is>
      </c>
      <c r="C74" s="214" t="n">
        <v>0.38</v>
      </c>
      <c r="D74" s="212" t="inlineStr">
        <is>
          <t>C08–C10, C17, C18 notes</t>
        </is>
      </c>
      <c r="E74" s="210" t="inlineStr">
        <is>
          <t>https://www.revenue.ie/en/tax-professionals/ebrief/2026/no-0162026.aspx · https://etf.ie/blog/budget-2026-etf/</t>
        </is>
      </c>
      <c r="F74" s="212" t="inlineStr">
        <is>
          <t>1 Jan 2026</t>
        </is>
      </c>
      <c r="G74" s="213" t="inlineStr">
        <is>
          <t>Yes (primary page quoted, P)</t>
        </is>
      </c>
      <c r="H74" s="210" t="inlineStr">
        <is>
          <t>#51</t>
        </is>
      </c>
    </row>
    <row r="75" ht="24" customHeight="1" s="171">
      <c r="B75" s="180" t="inlineStr">
        <is>
          <t>Deemed disposal on funds every … years  [Deemed_Disposal_Years]</t>
        </is>
      </c>
      <c r="C75" s="218" t="n">
        <v>8</v>
      </c>
      <c r="D75" s="212" t="inlineStr">
        <is>
          <t>Notes</t>
        </is>
      </c>
      <c r="E75" s="210" t="inlineStr">
        <is>
          <t>https://etf.ie/blog/budget-2026-etf/</t>
        </is>
      </c>
      <c r="F75" s="212" t="inlineStr">
        <is>
          <t>2026</t>
        </is>
      </c>
      <c r="G75" s="213" t="inlineStr">
        <is>
          <t>Yes (secondary source, S)</t>
        </is>
      </c>
      <c r="H75" s="210" t="inlineStr">
        <is>
          <t>#52</t>
        </is>
      </c>
    </row>
    <row r="76" ht="24" customHeight="1" s="171">
      <c r="B76" s="180" t="inlineStr">
        <is>
          <t>Life assurance levy on premiums (pension policies exempt)  [Life_Levy]</t>
        </is>
      </c>
      <c r="C76" s="214" t="n">
        <v>0.01</v>
      </c>
      <c r="D76" s="212" t="inlineStr">
        <is>
          <t>C18 note</t>
        </is>
      </c>
      <c r="E76" s="210" t="inlineStr">
        <is>
          <t>Revenue</t>
        </is>
      </c>
      <c r="F76" s="212" t="inlineStr">
        <is>
          <t>2026</t>
        </is>
      </c>
      <c r="G76" s="213" t="inlineStr">
        <is>
          <t>Yes (primary page quoted, P)</t>
        </is>
      </c>
      <c r="H76" s="210" t="inlineStr">
        <is>
          <t>#53</t>
        </is>
      </c>
    </row>
    <row r="77" ht="15" customHeight="1" s="171">
      <c r="B77" s="206" t="inlineStr">
        <is>
          <t>CENTRAL BANK MORTGAGE MEASURES AND PROPERTY  ·  Set by Government · 2026 (type 1, not an input)</t>
        </is>
      </c>
      <c r="C77" s="207" t="n"/>
      <c r="D77" s="207" t="n"/>
      <c r="E77" s="207" t="n"/>
      <c r="F77" s="207" t="n"/>
      <c r="G77" s="207" t="n"/>
      <c r="H77" s="207" t="n"/>
    </row>
    <row r="78" ht="15" customHeight="1" s="171">
      <c r="B78" s="208" t="inlineStr">
        <is>
          <t>Rule (name in formulas)</t>
        </is>
      </c>
      <c r="C78" s="208" t="inlineStr">
        <is>
          <t>Value</t>
        </is>
      </c>
      <c r="D78" s="208" t="inlineStr">
        <is>
          <t>Used by</t>
        </is>
      </c>
      <c r="E78" s="208" t="inlineStr">
        <is>
          <t>Source URL</t>
        </is>
      </c>
      <c r="F78" s="208" t="inlineStr">
        <is>
          <t>Effective</t>
        </is>
      </c>
      <c r="G78" s="208" t="inlineStr">
        <is>
          <t>Verify before release?</t>
        </is>
      </c>
      <c r="H78" s="208" t="inlineStr">
        <is>
          <t>Audit #</t>
        </is>
      </c>
    </row>
    <row r="79" ht="24" customHeight="1" s="171">
      <c r="B79" s="180" t="inlineStr">
        <is>
          <t>Loan-to-income limit, first-time buyers  [LTI_FTB]</t>
        </is>
      </c>
      <c r="C79" s="223" t="n">
        <v>4</v>
      </c>
      <c r="D79" s="212" t="inlineStr">
        <is>
          <t>C01</t>
        </is>
      </c>
      <c r="E79" s="210" t="inlineStr">
        <is>
          <t>https://www.centralbank.ie/news/article/central-bank-announces-targeted-changes-to-mortgage-measures-framework</t>
        </is>
      </c>
      <c r="F79" s="212" t="inlineStr">
        <is>
          <t>1 Jan 2023</t>
        </is>
      </c>
      <c r="G79" s="213" t="inlineStr">
        <is>
          <t>Yes (primary page quoted, P)</t>
        </is>
      </c>
      <c r="H79" s="210" t="inlineStr">
        <is>
          <t>#56</t>
        </is>
      </c>
    </row>
    <row r="80" ht="24" customHeight="1" s="171">
      <c r="B80" s="180" t="inlineStr">
        <is>
          <t>Loan-to-income limit, second and subsequent buyers  [LTI_SSB]</t>
        </is>
      </c>
      <c r="C80" s="223" t="n">
        <v>3.5</v>
      </c>
      <c r="D80" s="212" t="inlineStr">
        <is>
          <t>C01</t>
        </is>
      </c>
      <c r="E80" s="210" t="inlineStr">
        <is>
          <t>https://www.centralbank.ie/news/article/central-bank-announces-targeted-changes-to-mortgage-measures-framework</t>
        </is>
      </c>
      <c r="F80" s="212" t="inlineStr">
        <is>
          <t>1 Jan 2023</t>
        </is>
      </c>
      <c r="G80" s="213" t="inlineStr">
        <is>
          <t>Yes (primary page quoted, P)</t>
        </is>
      </c>
      <c r="H80" s="210" t="inlineStr">
        <is>
          <t>#56</t>
        </is>
      </c>
    </row>
    <row r="81" ht="24" customHeight="1" s="171">
      <c r="B81" s="180" t="inlineStr">
        <is>
          <t>Loan-to-value limit, first-time and subsequent buyers (buy-to-let 70%)  [LTV_Max]</t>
        </is>
      </c>
      <c r="C81" s="214" t="n">
        <v>0.9</v>
      </c>
      <c r="D81" s="212" t="inlineStr">
        <is>
          <t>C01, C02 goal, C03, C07</t>
        </is>
      </c>
      <c r="E81" s="210" t="inlineStr">
        <is>
          <t>https://www.centralbank.ie/news/article/central-bank-announces-targeted-changes-to-mortgage-measures-framework</t>
        </is>
      </c>
      <c r="F81" s="212" t="inlineStr">
        <is>
          <t>1 Jan 2023</t>
        </is>
      </c>
      <c r="G81" s="213" t="inlineStr">
        <is>
          <t>Yes (primary page quoted, P)</t>
        </is>
      </c>
      <c r="H81" s="210" t="inlineStr">
        <is>
          <t>#57</t>
        </is>
      </c>
    </row>
    <row r="82" ht="24" customHeight="1" s="171">
      <c r="B82" s="180" t="inlineStr">
        <is>
          <t>Minimum deposit (1 − LTV)  [Min_Deposit_Pct]</t>
        </is>
      </c>
      <c r="C82" s="214" t="n">
        <v>0.1</v>
      </c>
      <c r="D82" s="212" t="inlineStr">
        <is>
          <t>C01, C03, C07 validation</t>
        </is>
      </c>
      <c r="E82" s="210" t="inlineStr">
        <is>
          <t>Derived</t>
        </is>
      </c>
      <c r="F82" s="212" t="inlineStr">
        <is>
          <t>1 Jan 2023</t>
        </is>
      </c>
      <c r="G82" s="213" t="inlineStr">
        <is>
          <t>Yes (primary page quoted, P)</t>
        </is>
      </c>
      <c r="H82" s="210" t="inlineStr">
        <is>
          <t>#59</t>
        </is>
      </c>
    </row>
    <row r="83" ht="39.75" customHeight="1" s="171">
      <c r="B83" s="209" t="inlineStr">
        <is>
          <t>Lenders may exceed the limits for a small share of loans each year (allowances: about 15% of first-time-buyer and 10% of other lending by value, verify). Principal-home bridging loans are exempt from the LTI limit since 8 Apr 2026.</t>
        </is>
      </c>
      <c r="E83" s="210" t="inlineStr">
        <is>
          <t>https://www.centralbank.ie/news/article/central-bank-announces-targeted-changes-to-mortgage-measures-framework · https://www.centralbank.ie/news/article/press-release-targeted-amendment-to-mortgage-measures-home-bridging-loans-8-april-2026</t>
        </is>
      </c>
    </row>
    <row r="84" ht="24" customHeight="1" s="171">
      <c r="B84" s="180" t="inlineStr">
        <is>
          <t>Stamp duty on homes up to €1m  [SD_Rate_1]</t>
        </is>
      </c>
      <c r="C84" s="214" t="n">
        <v>0.01</v>
      </c>
      <c r="D84" s="212" t="inlineStr">
        <is>
          <t>C01, C03, C07</t>
        </is>
      </c>
      <c r="E84" s="210" t="inlineStr">
        <is>
          <t>https://www.raisin.com/en-ie/taxes/stamp-duty-ireland/</t>
        </is>
      </c>
      <c r="F84" s="212" t="inlineStr">
        <is>
          <t>Budget 2025</t>
        </is>
      </c>
      <c r="G84" s="213" t="inlineStr">
        <is>
          <t>Yes (secondary source, S)</t>
        </is>
      </c>
      <c r="H84" s="210" t="inlineStr">
        <is>
          <t>#60</t>
        </is>
      </c>
    </row>
    <row r="85" ht="24" customHeight="1" s="171">
      <c r="B85" s="180" t="inlineStr">
        <is>
          <t>Stamp duty band 1 top  [SD_Band_1]</t>
        </is>
      </c>
      <c r="C85" s="211" t="n">
        <v>1000000</v>
      </c>
      <c r="D85" s="212" t="inlineStr">
        <is>
          <t>C01, C03, C07</t>
        </is>
      </c>
      <c r="E85" s="210" t="inlineStr">
        <is>
          <t>https://www.raisin.com/en-ie/taxes/stamp-duty-ireland/</t>
        </is>
      </c>
      <c r="F85" s="212" t="inlineStr">
        <is>
          <t>Budget 2025</t>
        </is>
      </c>
      <c r="G85" s="213" t="inlineStr">
        <is>
          <t>Yes (secondary source, S)</t>
        </is>
      </c>
      <c r="H85" s="210" t="inlineStr">
        <is>
          <t>#60</t>
        </is>
      </c>
    </row>
    <row r="86" ht="24" customHeight="1" s="171">
      <c r="B86" s="180" t="inlineStr">
        <is>
          <t>Stamp duty €1m–€1.5m  [SD_Rate_2]</t>
        </is>
      </c>
      <c r="C86" s="214" t="n">
        <v>0.02</v>
      </c>
      <c r="D86" s="212" t="inlineStr">
        <is>
          <t>C01, C03, C07</t>
        </is>
      </c>
      <c r="E86" s="210" t="inlineStr">
        <is>
          <t>https://www.raisin.com/en-ie/taxes/stamp-duty-ireland/</t>
        </is>
      </c>
      <c r="F86" s="212" t="inlineStr">
        <is>
          <t>Budget 2025</t>
        </is>
      </c>
      <c r="G86" s="213" t="inlineStr">
        <is>
          <t>Yes (secondary source, S)</t>
        </is>
      </c>
      <c r="H86" s="210" t="inlineStr">
        <is>
          <t>#60</t>
        </is>
      </c>
    </row>
    <row r="87" ht="24" customHeight="1" s="171">
      <c r="B87" s="180" t="inlineStr">
        <is>
          <t>Stamp duty band 2 top  [SD_Band_2]</t>
        </is>
      </c>
      <c r="C87" s="211" t="n">
        <v>1500000</v>
      </c>
      <c r="D87" s="212" t="inlineStr">
        <is>
          <t>C01, C03, C07</t>
        </is>
      </c>
      <c r="E87" s="210" t="inlineStr">
        <is>
          <t>https://www.raisin.com/en-ie/taxes/stamp-duty-ireland/</t>
        </is>
      </c>
      <c r="F87" s="212" t="inlineStr">
        <is>
          <t>Budget 2025</t>
        </is>
      </c>
      <c r="G87" s="213" t="inlineStr">
        <is>
          <t>Yes (secondary source, S)</t>
        </is>
      </c>
      <c r="H87" s="210" t="inlineStr">
        <is>
          <t>#60</t>
        </is>
      </c>
    </row>
    <row r="88" ht="24" customHeight="1" s="171">
      <c r="B88" s="180" t="inlineStr">
        <is>
          <t>Stamp duty above €1.5m  [SD_Rate_3]</t>
        </is>
      </c>
      <c r="C88" s="214" t="n">
        <v>0.06</v>
      </c>
      <c r="D88" s="212" t="inlineStr">
        <is>
          <t>C01, C03, C07</t>
        </is>
      </c>
      <c r="E88" s="210" t="inlineStr">
        <is>
          <t>https://www.raisin.com/en-ie/taxes/stamp-duty-ireland/</t>
        </is>
      </c>
      <c r="F88" s="212" t="inlineStr">
        <is>
          <t>Budget 2025</t>
        </is>
      </c>
      <c r="G88" s="213" t="inlineStr">
        <is>
          <t>Yes (secondary source, S)</t>
        </is>
      </c>
      <c r="H88" s="210" t="inlineStr">
        <is>
          <t>#60</t>
        </is>
      </c>
    </row>
    <row r="89" ht="39.75" customHeight="1" s="171">
      <c r="B89" s="209" t="inlineStr">
        <is>
          <t>APR on cards and loans is an effective annual rate (EU Consumer Credit Directive 2008/48/EC, Annex I): monthly rate = (1 + APR)^(1/12) − 1 (C27, C28). Mortgage rates are nominal: monthly = rate ÷ 12.</t>
        </is>
      </c>
      <c r="E89" s="210" t="inlineStr">
        <is>
          <t>https://eur-lex.europa.eu/eli/dir/2008/48/oj</t>
        </is>
      </c>
    </row>
    <row r="90" ht="15" customHeight="1" s="171">
      <c r="B90" s="206" t="inlineStr">
        <is>
          <t>STATEMENT READER RULES (product rules)  ·  LifeMap product rule</t>
        </is>
      </c>
      <c r="C90" s="207" t="n"/>
      <c r="D90" s="207" t="n"/>
      <c r="E90" s="207" t="n"/>
      <c r="F90" s="207" t="n"/>
      <c r="G90" s="207" t="n"/>
      <c r="H90" s="207" t="n"/>
    </row>
    <row r="91" ht="15" customHeight="1" s="171">
      <c r="B91" s="208" t="inlineStr">
        <is>
          <t>Rule (name in formulas)</t>
        </is>
      </c>
      <c r="C91" s="208" t="inlineStr">
        <is>
          <t>Value</t>
        </is>
      </c>
      <c r="D91" s="208" t="inlineStr">
        <is>
          <t>Used by</t>
        </is>
      </c>
      <c r="E91" s="208" t="inlineStr">
        <is>
          <t>Source URL</t>
        </is>
      </c>
      <c r="F91" s="208" t="inlineStr">
        <is>
          <t>Effective</t>
        </is>
      </c>
      <c r="G91" s="208" t="inlineStr">
        <is>
          <t>Verify before release?</t>
        </is>
      </c>
      <c r="H91" s="208" t="inlineStr">
        <is>
          <t>Audit #</t>
        </is>
      </c>
    </row>
    <row r="92" ht="24" customHeight="1" s="171">
      <c r="B92" s="180" t="inlineStr">
        <is>
          <t>Investment statement: shares at or above this = style 3 Growth  [Shares_For_Growth]</t>
        </is>
      </c>
      <c r="C92" s="214" t="n">
        <v>0.7</v>
      </c>
      <c r="D92" s="212" t="inlineStr">
        <is>
          <t>C20</t>
        </is>
      </c>
      <c r="E92" s="210" t="inlineStr">
        <is>
          <t>Prototype rule (DOCT.invest.pre)</t>
        </is>
      </c>
      <c r="F92" s="212" t="inlineStr">
        <is>
          <t>—</t>
        </is>
      </c>
      <c r="G92" s="210" t="inlineStr">
        <is>
          <t>No</t>
        </is>
      </c>
      <c r="H92" s="210" t="inlineStr">
        <is>
          <t>—</t>
        </is>
      </c>
    </row>
    <row r="93" ht="24" customHeight="1" s="171">
      <c r="B93" s="180" t="inlineStr">
        <is>
          <t>Investment statement: shares at or above this = style 2 Balanced (else 1)  [Shares_For_Balanced]</t>
        </is>
      </c>
      <c r="C93" s="214" t="n">
        <v>0.4</v>
      </c>
      <c r="D93" s="212" t="inlineStr">
        <is>
          <t>C20</t>
        </is>
      </c>
      <c r="E93" s="210" t="inlineStr">
        <is>
          <t>Prototype rule</t>
        </is>
      </c>
      <c r="F93" s="212" t="inlineStr">
        <is>
          <t>—</t>
        </is>
      </c>
      <c r="G93" s="210" t="inlineStr">
        <is>
          <t>No</t>
        </is>
      </c>
      <c r="H93" s="210" t="inlineStr">
        <is>
          <t>—</t>
        </is>
      </c>
    </row>
    <row r="94" ht="24" customHeight="1" s="171">
      <c r="B94" s="180" t="inlineStr">
        <is>
          <t>A statement older than this (days) is flagged "Needs a look"  [Statement_Max_Age_Days]</t>
        </is>
      </c>
      <c r="C94" s="218" t="n">
        <v>365</v>
      </c>
      <c r="D94" s="212" t="inlineStr">
        <is>
          <t>All statement blocks</t>
        </is>
      </c>
      <c r="E94" s="210" t="inlineStr">
        <is>
          <t>Pooja, 2 Oct 2026</t>
        </is>
      </c>
      <c r="F94" s="212" t="inlineStr">
        <is>
          <t>—</t>
        </is>
      </c>
      <c r="G94" s="210" t="inlineStr">
        <is>
          <t>No</t>
        </is>
      </c>
      <c r="H94" s="210" t="inlineStr">
        <is>
          <t>—</t>
        </is>
      </c>
    </row>
    <row r="95" ht="24" customHeight="1" s="171">
      <c r="B95" s="180" t="inlineStr">
        <is>
          <t>Reader confidence below this: ask the customer to confirm  [Reader_Confidence_Min]</t>
        </is>
      </c>
      <c r="C95" s="214" t="n">
        <v>0.8</v>
      </c>
      <c r="D95" s="212" t="inlineStr">
        <is>
          <t>Document reader spec</t>
        </is>
      </c>
      <c r="E95" s="210" t="inlineStr">
        <is>
          <t>Pooja, 2 Oct 2026</t>
        </is>
      </c>
      <c r="F95" s="212" t="inlineStr">
        <is>
          <t>—</t>
        </is>
      </c>
      <c r="G95" s="210" t="inlineStr">
        <is>
          <t>No</t>
        </is>
      </c>
      <c r="H95" s="210" t="inlineStr">
        <is>
          <t>—</t>
        </is>
      </c>
    </row>
    <row r="96" ht="15" customHeight="1" s="171">
      <c r="B96" s="206" t="inlineStr">
        <is>
          <t>DISPLAY RULES AND STATISTICAL CONSTANTS  ·  LifeMap product rule</t>
        </is>
      </c>
      <c r="C96" s="207" t="n"/>
      <c r="D96" s="207" t="n"/>
      <c r="E96" s="207" t="n"/>
      <c r="F96" s="207" t="n"/>
      <c r="G96" s="207" t="n"/>
      <c r="H96" s="207" t="n"/>
    </row>
    <row r="97" ht="15" customHeight="1" s="171">
      <c r="B97" s="208" t="inlineStr">
        <is>
          <t>Rule (name in formulas)</t>
        </is>
      </c>
      <c r="C97" s="208" t="inlineStr">
        <is>
          <t>Value</t>
        </is>
      </c>
      <c r="D97" s="208" t="inlineStr">
        <is>
          <t>Used by</t>
        </is>
      </c>
      <c r="E97" s="208" t="inlineStr">
        <is>
          <t>Source URL</t>
        </is>
      </c>
      <c r="F97" s="208" t="inlineStr">
        <is>
          <t>Effective</t>
        </is>
      </c>
      <c r="G97" s="208" t="inlineStr">
        <is>
          <t>Verify before release?</t>
        </is>
      </c>
      <c r="H97" s="208" t="inlineStr">
        <is>
          <t>Audit #</t>
        </is>
      </c>
    </row>
    <row r="98" ht="24" customHeight="1" s="171">
      <c r="B98" s="180" t="inlineStr">
        <is>
          <t>Show "Over 100 years" above this many months  [Cap_Months]</t>
        </is>
      </c>
      <c r="C98" s="218" t="n">
        <v>1200</v>
      </c>
      <c r="D98" s="212" t="inlineStr">
        <is>
          <t>C02, C04, C27</t>
        </is>
      </c>
      <c r="E98" s="210" t="inlineStr">
        <is>
          <t>Display rule</t>
        </is>
      </c>
      <c r="F98" s="212" t="inlineStr">
        <is>
          <t>—</t>
        </is>
      </c>
      <c r="G98" s="210" t="inlineStr">
        <is>
          <t>No</t>
        </is>
      </c>
      <c r="H98" s="210" t="inlineStr">
        <is>
          <t>—</t>
        </is>
      </c>
    </row>
    <row r="99" ht="24" customHeight="1" s="171">
      <c r="B99" s="180" t="inlineStr">
        <is>
          <t>Drawdown working table length ("60+ years")  [Cap_Years]</t>
        </is>
      </c>
      <c r="C99" s="218" t="n">
        <v>60</v>
      </c>
      <c r="D99" s="212" t="inlineStr">
        <is>
          <t>C15, C16</t>
        </is>
      </c>
      <c r="E99" s="210" t="inlineStr">
        <is>
          <t>Display rule</t>
        </is>
      </c>
      <c r="F99" s="212" t="inlineStr">
        <is>
          <t>—</t>
        </is>
      </c>
      <c r="G99" s="210" t="inlineStr">
        <is>
          <t>No</t>
        </is>
      </c>
      <c r="H99" s="210" t="inlineStr">
        <is>
          <t>—</t>
        </is>
      </c>
    </row>
    <row r="100" ht="24" customHeight="1" s="171">
      <c r="B100" s="180" t="inlineStr">
        <is>
          <t>Mortgage protection: first checkpoint (years)  [MP_Year_1]</t>
        </is>
      </c>
      <c r="C100" s="218" t="n">
        <v>5</v>
      </c>
      <c r="D100" s="212" t="inlineStr">
        <is>
          <t>C23</t>
        </is>
      </c>
      <c r="E100" s="210" t="inlineStr">
        <is>
          <t>Display rule</t>
        </is>
      </c>
      <c r="F100" s="212" t="inlineStr">
        <is>
          <t>—</t>
        </is>
      </c>
      <c r="G100" s="210" t="inlineStr">
        <is>
          <t>No</t>
        </is>
      </c>
      <c r="H100" s="210" t="inlineStr">
        <is>
          <t>—</t>
        </is>
      </c>
    </row>
    <row r="101" ht="24" customHeight="1" s="171">
      <c r="B101" s="180" t="inlineStr">
        <is>
          <t>Mortgage protection: second checkpoint (years)  [MP_Year_2]</t>
        </is>
      </c>
      <c r="C101" s="218" t="n">
        <v>10</v>
      </c>
      <c r="D101" s="212" t="inlineStr">
        <is>
          <t>C23</t>
        </is>
      </c>
      <c r="E101" s="210" t="inlineStr">
        <is>
          <t>Display rule</t>
        </is>
      </c>
      <c r="F101" s="212" t="inlineStr">
        <is>
          <t>—</t>
        </is>
      </c>
      <c r="G101" s="210" t="inlineStr">
        <is>
          <t>No</t>
        </is>
      </c>
      <c r="H101" s="210" t="inlineStr">
        <is>
          <t>—</t>
        </is>
      </c>
    </row>
    <row r="102" ht="24" customHeight="1" s="171">
      <c r="B102" s="180" t="inlineStr">
        <is>
          <t>Mortgage protection: third checkpoint (years)  [MP_Year_3]</t>
        </is>
      </c>
      <c r="C102" s="218" t="n">
        <v>15</v>
      </c>
      <c r="D102" s="212" t="inlineStr">
        <is>
          <t>C23</t>
        </is>
      </c>
      <c r="E102" s="210" t="inlineStr">
        <is>
          <t>Display rule</t>
        </is>
      </c>
      <c r="F102" s="212" t="inlineStr">
        <is>
          <t>—</t>
        </is>
      </c>
      <c r="G102" s="210" t="inlineStr">
        <is>
          <t>No</t>
        </is>
      </c>
      <c r="H102" s="210" t="inlineStr">
        <is>
          <t>—</t>
        </is>
      </c>
    </row>
    <row r="103" ht="24" customHeight="1" s="171">
      <c r="B103" s="180" t="inlineStr">
        <is>
          <t>Standard-normal value for a 1-in-20 bad year  [One_In_20_Z]</t>
        </is>
      </c>
      <c r="C103" s="224" t="n">
        <v>1.645</v>
      </c>
      <c r="D103" s="212" t="inlineStr">
        <is>
          <t>C20</t>
        </is>
      </c>
      <c r="E103" s="210" t="inlineStr">
        <is>
          <t>Normal distribution (5% tail); audit #81</t>
        </is>
      </c>
      <c r="F103" s="212" t="inlineStr">
        <is>
          <t>—</t>
        </is>
      </c>
      <c r="G103" s="210" t="inlineStr">
        <is>
          <t>No</t>
        </is>
      </c>
      <c r="H103" s="210" t="inlineStr">
        <is>
          <t>#81</t>
        </is>
      </c>
    </row>
    <row r="104" ht="15" customHeight="1" s="171">
      <c r="B104" s="180" t="inlineStr">
        <is>
          <t>Risk style 1 name  [Risk_Names]</t>
        </is>
      </c>
      <c r="C104" s="219" t="inlineStr">
        <is>
          <t>Cautious</t>
        </is>
      </c>
      <c r="D104" s="185" t="inlineStr">
        <is>
          <t>C20</t>
        </is>
      </c>
      <c r="E104" s="220" t="inlineStr">
        <is>
          <t>Label</t>
        </is>
      </c>
      <c r="G104" s="225" t="inlineStr">
        <is>
          <t>No</t>
        </is>
      </c>
    </row>
    <row r="105" ht="15" customHeight="1" s="171">
      <c r="B105" s="180" t="inlineStr">
        <is>
          <t>Risk style 2 name  [Risk_Names]</t>
        </is>
      </c>
      <c r="C105" s="219" t="inlineStr">
        <is>
          <t>Balanced</t>
        </is>
      </c>
      <c r="D105" s="185" t="inlineStr">
        <is>
          <t>C20</t>
        </is>
      </c>
      <c r="E105" s="220" t="inlineStr">
        <is>
          <t>Label</t>
        </is>
      </c>
      <c r="G105" s="225" t="inlineStr">
        <is>
          <t>No</t>
        </is>
      </c>
    </row>
    <row r="106" ht="15" customHeight="1" s="171">
      <c r="B106" s="180" t="inlineStr">
        <is>
          <t>Risk style 3 name  [Risk_Names]</t>
        </is>
      </c>
      <c r="C106" s="219" t="inlineStr">
        <is>
          <t>Growth</t>
        </is>
      </c>
      <c r="D106" s="185" t="inlineStr">
        <is>
          <t>C20</t>
        </is>
      </c>
      <c r="E106" s="220" t="inlineStr">
        <is>
          <t>Label</t>
        </is>
      </c>
      <c r="G106" s="225" t="inlineStr">
        <is>
          <t>No</t>
        </is>
      </c>
    </row>
    <row r="108" ht="15" customHeight="1" s="171">
      <c r="B108" s="206" t="inlineStr">
        <is>
          <t>BUDGET 2027 (announced 6 Oct 2026): not applied yet</t>
        </is>
      </c>
      <c r="C108" s="207" t="n"/>
      <c r="D108" s="207" t="n"/>
      <c r="E108" s="207" t="n"/>
      <c r="F108" s="207" t="n"/>
      <c r="G108" s="207" t="n"/>
      <c r="H108" s="207" t="n"/>
    </row>
    <row r="109" ht="42" customHeight="1" s="171">
      <c r="B109" s="209"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08" t="inlineStr">
        <is>
          <t>Constant (2026 value, unchanged)</t>
        </is>
      </c>
      <c r="D110" s="208" t="inlineStr">
        <is>
          <t>Name(s) to update</t>
        </is>
      </c>
      <c r="E110" s="208" t="inlineStr">
        <is>
          <t>Status</t>
        </is>
      </c>
    </row>
    <row r="111" ht="25.5" customHeight="1" s="171">
      <c r="B111" s="212" t="inlineStr">
        <is>
          <t>Income-tax bands (€44,000 / €48,000 / €53,000; €35,000 second-earner uplift)</t>
        </is>
      </c>
      <c r="D111" s="212" t="inlineStr">
        <is>
          <t>Band_Single, Band_Single_Parent, Band_Married, Band_Second_Earner_Max</t>
        </is>
      </c>
      <c r="E111" s="212" t="inlineStr">
        <is>
          <t>2026 value kept until final and official</t>
        </is>
      </c>
    </row>
    <row r="112" ht="25.5" customHeight="1" s="171">
      <c r="B112" s="212" t="inlineStr">
        <is>
          <t>Personal and PAYE credits (€2,000 + €2,000; €4,000 married)</t>
        </is>
      </c>
      <c r="D112" s="212" t="inlineStr">
        <is>
          <t>Credit_Personal_Single, Credit_Personal_Married, Credit_PAYE</t>
        </is>
      </c>
      <c r="E112" s="212" t="inlineStr">
        <is>
          <t>2026 value kept until final and official</t>
        </is>
      </c>
    </row>
    <row r="113" ht="25.5" customHeight="1" s="171">
      <c r="B113" s="212" t="inlineStr">
        <is>
          <t>Rent, Home Carer and SPCCC credits (€1,000 / €1,950 / €1,900)</t>
        </is>
      </c>
      <c r="D113" s="212" t="inlineStr">
        <is>
          <t>Credit_Rent_Single, Credit_Rent_Joint, Credit_Home_Carer, Credit_SPCCC</t>
        </is>
      </c>
      <c r="E113" s="212" t="inlineStr">
        <is>
          <t>2026 value kept until final and official</t>
        </is>
      </c>
    </row>
    <row r="114" ht="25.5" customHeight="1" s="171">
      <c r="B114" s="212" t="inlineStr">
        <is>
          <t>USC bands (€12,012 / €28,700 / €70,044) and exemption €13,000</t>
        </is>
      </c>
      <c r="D114" s="212" t="inlineStr">
        <is>
          <t>USC_Band_1–3, USC_Exempt</t>
        </is>
      </c>
      <c r="E114" s="212" t="inlineStr">
        <is>
          <t>2026 value kept until final and official</t>
        </is>
      </c>
    </row>
    <row r="115" ht="25.5" customHeight="1" s="171">
      <c r="B115" s="212" t="inlineStr">
        <is>
          <t>PRSI path (4.35% now; 4.5% from 1 Oct 2027; 4.7% from 1 Oct 2028)</t>
        </is>
      </c>
      <c r="D115" s="212" t="inlineStr">
        <is>
          <t>PRSI_Rate, PRSI credit</t>
        </is>
      </c>
      <c r="E115" s="212" t="inlineStr">
        <is>
          <t>2026 value kept until final and official</t>
        </is>
      </c>
    </row>
    <row r="116" ht="25.5" customHeight="1" s="171">
      <c r="B116" s="212" t="inlineStr">
        <is>
          <t>State Pension €299.30 a week (€15,563.60)</t>
        </is>
      </c>
      <c r="D116" s="212" t="inlineStr">
        <is>
          <t>State_Pension_Week</t>
        </is>
      </c>
      <c r="E116" s="212" t="inlineStr">
        <is>
          <t>2026 value kept until final and official</t>
        </is>
      </c>
    </row>
    <row r="117" ht="25.5" customHeight="1" s="171">
      <c r="B117" s="212" t="inlineStr">
        <is>
          <t>Illness Benefit €254; survivor's pension €259.50 (&lt;66) / €299.30 (66+)</t>
        </is>
      </c>
      <c r="D117" s="212" t="inlineStr">
        <is>
          <t>Illness_Benefit_Week, Survivor_Pension_Week, Survivor_Pension_Week_66</t>
        </is>
      </c>
      <c r="E117" s="212" t="inlineStr">
        <is>
          <t>2026 value kept until final and official</t>
        </is>
      </c>
    </row>
    <row r="118" ht="25.5" customHeight="1" s="171">
      <c r="B118" s="212" t="inlineStr">
        <is>
          <t>Exit tax 38%, deemed disposal 8 years, DIRT 33%</t>
        </is>
      </c>
      <c r="D118" s="212" t="inlineStr">
        <is>
          <t>Exit_Tax, Deemed_Disposal_Years, DIRT</t>
        </is>
      </c>
      <c r="E118" s="212" t="inlineStr">
        <is>
          <t>2026 value kept until final and official</t>
        </is>
      </c>
    </row>
    <row r="119" ht="25.5" customHeight="1" s="171">
      <c r="B119" s="212" t="inlineStr">
        <is>
          <t>Pension relief bands, €115,000 cap, lump-sum bands, SFT (€2.4m in 2027)</t>
        </is>
      </c>
      <c r="D119" s="212" t="inlineStr">
        <is>
          <t>Relief_Age_From/Relief_Age_Pct, Relief_Earnings_Cap, Lump_Sum_*</t>
        </is>
      </c>
      <c r="E119" s="212" t="inlineStr">
        <is>
          <t>2026 value kept until final and official</t>
        </is>
      </c>
    </row>
    <row r="120" ht="25.5" customHeight="1" s="171">
      <c r="B120" s="212" t="inlineStr">
        <is>
          <t>Stamp duty 1% / 2% / 6%; Help to Buy €30,000; CBI 4× / 3.5× / 90%</t>
        </is>
      </c>
      <c r="D120" s="212" t="inlineStr">
        <is>
          <t>SD_*, LTI_FTB, LTI_SSB, LTV_Max</t>
        </is>
      </c>
      <c r="E120" s="212" t="inlineStr">
        <is>
          <t>2026 value kept until final and official</t>
        </is>
      </c>
    </row>
    <row r="121" ht="25.5" customHeight="1" s="171">
      <c r="B121" s="212" t="inlineStr">
        <is>
          <t>Inflation "Ireland now" 3.9% (CSO HICP flash Sep 2026)</t>
        </is>
      </c>
      <c r="D121" s="212" t="inlineStr">
        <is>
          <t>Guidance text on each inflation input and on this sheet</t>
        </is>
      </c>
      <c r="E121" s="212" t="inlineStr">
        <is>
          <t>Guidance text shows the latest CSO figure</t>
        </is>
      </c>
    </row>
    <row r="123" ht="15" customHeight="1" s="171">
      <c r="B123" s="206"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0" t="inlineStr">
        <is>
          <t>Rules year: the tax year the figures on this sheet apply to  [Rules_Year]</t>
        </is>
      </c>
      <c r="C125" s="219" t="n">
        <v>2026</v>
      </c>
      <c r="D125" s="185" t="inlineStr">
        <is>
          <t>Plan sheets</t>
        </is>
      </c>
      <c r="E125" s="220" t="n"/>
      <c r="G125" s="225" t="n"/>
    </row>
    <row r="126" ht="15" customHeight="1" s="171">
      <c r="B126" s="180" t="inlineStr">
        <is>
          <t>Next rules year (the plan starts here from October)  [Rules_Year_Next]</t>
        </is>
      </c>
      <c r="C126" s="219" t="n">
        <v>2027</v>
      </c>
      <c r="D126" s="185" t="inlineStr">
        <is>
          <t>Plan sheets</t>
        </is>
      </c>
      <c r="E126" s="220" t="n"/>
      <c r="G126" s="225" t="n"/>
    </row>
    <row r="127" ht="15" customHeight="1" s="171">
      <c r="B127" s="180" t="inlineStr">
        <is>
          <t>Earliest age some occupational pension schemes allow benefits  [Scheme_Earliest_Age]</t>
        </is>
      </c>
      <c r="C127" s="219" t="n">
        <v>50</v>
      </c>
      <c r="D127" s="185" t="inlineStr">
        <is>
          <t>Plan results, C12</t>
        </is>
      </c>
      <c r="E127" s="220" t="n"/>
      <c r="G127" s="225" t="n"/>
    </row>
    <row r="128" ht="15" customHeight="1" s="171">
      <c r="B128" s="180" t="inlineStr">
        <is>
          <t>Biggest euro amount a calculator input accepts (validation limit)  [Max_Money_Input]</t>
        </is>
      </c>
      <c r="C128" s="226" t="n">
        <v>200000</v>
      </c>
      <c r="D128" s="185" t="inlineStr">
        <is>
          <t>C12, C25, C26</t>
        </is>
      </c>
      <c r="E128" s="220" t="n"/>
      <c r="G128" s="225" t="n"/>
    </row>
    <row r="129" ht="15" customHeight="1" s="171">
      <c r="C129" s="227" t="n"/>
    </row>
    <row r="130" ht="15" customHeight="1" s="171">
      <c r="C130" s="227" t="n"/>
    </row>
    <row r="131" ht="15" customHeight="1" s="171">
      <c r="C131" s="228" t="n"/>
    </row>
    <row r="132" ht="15" customHeight="1" s="171">
      <c r="C132" s="227" t="n"/>
    </row>
    <row r="133" ht="15" customHeight="1" s="171">
      <c r="C133" s="203"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29" t="inlineStr">
        <is>
          <t>Card</t>
        </is>
      </c>
      <c r="C5" s="229" t="inlineStr">
        <is>
          <t>Lender (optional)</t>
        </is>
      </c>
      <c r="D5" s="229" t="inlineStr">
        <is>
          <t>Owed (€)</t>
        </is>
      </c>
      <c r="E5" s="229" t="inlineStr">
        <is>
          <t>Repaid a month (€)</t>
        </is>
      </c>
      <c r="F5" s="229" t="inlineStr">
        <is>
          <t>APR (optional, %)</t>
        </is>
      </c>
    </row>
    <row r="6" ht="15" customHeight="1" s="171">
      <c r="B6" s="170" t="inlineStr">
        <is>
          <t>Card 1</t>
        </is>
      </c>
      <c r="C6" s="194" t="n"/>
      <c r="D6" s="198" t="n"/>
      <c r="E6" s="198" t="n"/>
      <c r="F6" s="196" t="n"/>
    </row>
    <row r="7" ht="15" customHeight="1" s="171">
      <c r="B7" s="170" t="inlineStr">
        <is>
          <t>Card 2</t>
        </is>
      </c>
      <c r="C7" s="194" t="n"/>
      <c r="D7" s="198" t="n"/>
      <c r="E7" s="198" t="n"/>
      <c r="F7" s="196" t="n"/>
    </row>
    <row r="8" ht="15" customHeight="1" s="171">
      <c r="B8" s="170" t="inlineStr">
        <is>
          <t>Card 3</t>
        </is>
      </c>
      <c r="C8" s="194" t="n"/>
      <c r="D8" s="198" t="n"/>
      <c r="E8" s="198" t="n"/>
      <c r="F8" s="196" t="n"/>
    </row>
    <row r="9" ht="15" customHeight="1" s="171">
      <c r="B9" s="170" t="inlineStr">
        <is>
          <t>Card 4</t>
        </is>
      </c>
      <c r="C9" s="194" t="n"/>
      <c r="D9" s="198" t="n"/>
      <c r="E9" s="198" t="n"/>
      <c r="F9" s="196" t="n"/>
    </row>
    <row r="10" ht="15" customHeight="1" s="171">
      <c r="B10" s="170" t="inlineStr">
        <is>
          <t>Card 5</t>
        </is>
      </c>
      <c r="C10" s="194" t="n"/>
      <c r="D10" s="198" t="n"/>
      <c r="E10" s="198" t="n"/>
      <c r="F10" s="196" t="n"/>
    </row>
    <row r="11" ht="15" customHeight="1" s="171">
      <c r="B11" s="170" t="inlineStr">
        <is>
          <t>Card 6</t>
        </is>
      </c>
      <c r="C11" s="194" t="n"/>
      <c r="D11" s="198" t="n"/>
      <c r="E11" s="198" t="n"/>
      <c r="F11" s="196" t="n"/>
    </row>
    <row r="12" ht="15" customHeight="1" s="171">
      <c r="B12" s="170" t="inlineStr">
        <is>
          <t>Card 7</t>
        </is>
      </c>
      <c r="C12" s="194" t="n"/>
      <c r="D12" s="198" t="n"/>
      <c r="E12" s="198" t="n"/>
      <c r="F12" s="196" t="n"/>
    </row>
    <row r="13" ht="15" customHeight="1" s="171">
      <c r="B13" s="170" t="inlineStr">
        <is>
          <t>Card 8</t>
        </is>
      </c>
      <c r="C13" s="194" t="n"/>
      <c r="D13" s="198" t="n"/>
      <c r="E13" s="198" t="n"/>
      <c r="F13" s="196" t="n"/>
    </row>
    <row r="15" ht="15" customHeight="1" s="171">
      <c r="B15" s="173" t="inlineStr">
        <is>
          <t>Cards owed  [Cards_Owed_Total]</t>
        </is>
      </c>
      <c r="D15" s="230" t="n">
        <v>0</v>
      </c>
    </row>
    <row r="16" ht="15" customHeight="1" s="171">
      <c r="B16" s="170" t="inlineStr">
        <is>
          <t>Cards repaid a month  [Cards_Pay_Total]</t>
        </is>
      </c>
      <c r="D16" s="230" t="n">
        <v>0</v>
      </c>
    </row>
    <row r="17" ht="15" customHeight="1" s="171">
      <c r="B17" s="170" t="inlineStr">
        <is>
          <t>Cards APR (weighted by amount owed; blank if none given)  [Cards_Rate_Avg]</t>
        </is>
      </c>
      <c r="D17" s="231" t="str"/>
    </row>
    <row r="19" ht="15" customHeight="1" s="171">
      <c r="B19" s="173" t="inlineStr">
        <is>
          <t>Other loans (car, personal, credit union)</t>
        </is>
      </c>
    </row>
    <row r="20" ht="15" customHeight="1" s="171">
      <c r="B20" s="229" t="inlineStr">
        <is>
          <t>Loan</t>
        </is>
      </c>
      <c r="C20" s="229" t="inlineStr">
        <is>
          <t>Lender (optional)</t>
        </is>
      </c>
      <c r="D20" s="229" t="inlineStr">
        <is>
          <t>Owed (€)</t>
        </is>
      </c>
      <c r="E20" s="229" t="inlineStr">
        <is>
          <t>Repaid a month (€)</t>
        </is>
      </c>
      <c r="F20" s="229" t="inlineStr">
        <is>
          <t>APR (optional, %)</t>
        </is>
      </c>
    </row>
    <row r="21" ht="15" customHeight="1" s="171">
      <c r="B21" s="170" t="inlineStr">
        <is>
          <t>Loan 1</t>
        </is>
      </c>
      <c r="C21" s="194" t="n"/>
      <c r="D21" s="198" t="n"/>
      <c r="E21" s="198" t="n"/>
      <c r="F21" s="196" t="n"/>
    </row>
    <row r="22" ht="15" customHeight="1" s="171">
      <c r="B22" s="170" t="inlineStr">
        <is>
          <t>Loan 2</t>
        </is>
      </c>
      <c r="C22" s="194" t="n"/>
      <c r="D22" s="198" t="n"/>
      <c r="E22" s="198" t="n"/>
      <c r="F22" s="196" t="n"/>
    </row>
    <row r="23" ht="15" customHeight="1" s="171">
      <c r="B23" s="170" t="inlineStr">
        <is>
          <t>Loan 3</t>
        </is>
      </c>
      <c r="C23" s="194" t="n"/>
      <c r="D23" s="198" t="n"/>
      <c r="E23" s="198" t="n"/>
      <c r="F23" s="196" t="n"/>
    </row>
    <row r="24" ht="15" customHeight="1" s="171">
      <c r="B24" s="170" t="inlineStr">
        <is>
          <t>Loan 4</t>
        </is>
      </c>
      <c r="C24" s="194" t="n"/>
      <c r="D24" s="198" t="n"/>
      <c r="E24" s="198" t="n"/>
      <c r="F24" s="196" t="n"/>
    </row>
    <row r="25" ht="15" customHeight="1" s="171">
      <c r="B25" s="170" t="inlineStr">
        <is>
          <t>Loan 5</t>
        </is>
      </c>
      <c r="C25" s="194" t="n"/>
      <c r="D25" s="198" t="n"/>
      <c r="E25" s="198" t="n"/>
      <c r="F25" s="196" t="n"/>
    </row>
    <row r="26" ht="15" customHeight="1" s="171">
      <c r="B26" s="170" t="inlineStr">
        <is>
          <t>Loan 6</t>
        </is>
      </c>
      <c r="C26" s="194" t="n"/>
      <c r="D26" s="198" t="n"/>
      <c r="E26" s="198" t="n"/>
      <c r="F26" s="196" t="n"/>
    </row>
    <row r="27" ht="15" customHeight="1" s="171">
      <c r="B27" s="170" t="inlineStr">
        <is>
          <t>Loan 7</t>
        </is>
      </c>
      <c r="C27" s="194" t="n"/>
      <c r="D27" s="198" t="n"/>
      <c r="E27" s="198" t="n"/>
      <c r="F27" s="196" t="n"/>
    </row>
    <row r="28" ht="15" customHeight="1" s="171">
      <c r="B28" s="170" t="inlineStr">
        <is>
          <t>Loan 8</t>
        </is>
      </c>
      <c r="C28" s="194" t="n"/>
      <c r="D28" s="198" t="n"/>
      <c r="E28" s="198" t="n"/>
      <c r="F28" s="196" t="n"/>
    </row>
    <row r="30" ht="15" customHeight="1" s="171">
      <c r="B30" s="170" t="inlineStr">
        <is>
          <t>Loans owed  [Loans_Owed_Total]</t>
        </is>
      </c>
      <c r="D30" s="230" t="n">
        <v>0</v>
      </c>
    </row>
    <row r="31" ht="15" customHeight="1" s="171">
      <c r="B31" s="170" t="inlineStr">
        <is>
          <t>Loans repaid a month  [Loans_Pay_Total]</t>
        </is>
      </c>
      <c r="D31" s="230" t="n">
        <v>0</v>
      </c>
    </row>
    <row r="32" ht="15" customHeight="1" s="171">
      <c r="B32" s="170" t="inlineStr">
        <is>
          <t>Cards + loans owed  [Debts_Listed_Total]</t>
        </is>
      </c>
      <c r="D32" s="230" t="n">
        <v>0</v>
      </c>
    </row>
    <row r="33" ht="15" customHeight="1" s="171">
      <c r="B33" s="170" t="inlineStr">
        <is>
          <t>Cards + loans repaid a month  [Debts_Pay_Total]</t>
        </is>
      </c>
      <c r="D33" s="230" t="n">
        <v>0</v>
      </c>
    </row>
    <row r="34" ht="15" customHeight="1" s="171">
      <c r="B34" s="170" t="inlineStr">
        <is>
          <t>Loans APR (weighted by amount owed; blank if none given)  [Loans_Rate_Avg]</t>
        </is>
      </c>
      <c r="D34" s="231" t="str"/>
    </row>
    <row r="35" ht="15" customHeight="1" s="171">
      <c r="B35" s="173" t="inlineStr">
        <is>
          <t>Pensions</t>
        </is>
      </c>
    </row>
    <row r="36" ht="27.75" customHeight="1" s="171">
      <c r="B36" s="229" t="inlineStr">
        <is>
          <t>Pension</t>
        </is>
      </c>
      <c r="C36" s="229" t="inlineStr">
        <is>
          <t>Name (optional)</t>
        </is>
      </c>
      <c r="D36" s="229" t="inlineStr">
        <is>
          <t>Value today (€)</t>
        </is>
      </c>
      <c r="E36" s="229" t="inlineStr">
        <is>
          <t>Paid in each month, you + employer (€)</t>
        </is>
      </c>
      <c r="F36" s="229" t="inlineStr">
        <is>
          <t>Of that, your own share (€, optional)</t>
        </is>
      </c>
      <c r="G36" s="229" t="inlineStr">
        <is>
          <t>Your own share used (€ a month)</t>
        </is>
      </c>
    </row>
    <row r="37" ht="15" customHeight="1" s="171">
      <c r="B37" s="170" t="inlineStr">
        <is>
          <t>Pension 1</t>
        </is>
      </c>
      <c r="C37" s="194" t="n"/>
      <c r="D37" s="198" t="n"/>
      <c r="E37" s="198" t="n"/>
      <c r="F37" s="198" t="n"/>
      <c r="G37" s="232" t="str"/>
    </row>
    <row r="38" ht="15" customHeight="1" s="171">
      <c r="B38" s="170" t="inlineStr">
        <is>
          <t>Pension 2</t>
        </is>
      </c>
      <c r="C38" s="194" t="n"/>
      <c r="D38" s="198" t="n"/>
      <c r="E38" s="198" t="n"/>
      <c r="F38" s="198" t="n"/>
      <c r="G38" s="232" t="str"/>
    </row>
    <row r="39" ht="15" customHeight="1" s="171">
      <c r="B39" s="170" t="inlineStr">
        <is>
          <t>Pension 3</t>
        </is>
      </c>
      <c r="C39" s="194" t="n"/>
      <c r="D39" s="198" t="n"/>
      <c r="E39" s="198" t="n"/>
      <c r="F39" s="198" t="n"/>
      <c r="G39" s="232" t="str"/>
    </row>
    <row r="40" ht="15" customHeight="1" s="171">
      <c r="B40" s="170" t="inlineStr">
        <is>
          <t>Pension 4</t>
        </is>
      </c>
      <c r="C40" s="194" t="n"/>
      <c r="D40" s="198" t="n"/>
      <c r="E40" s="198" t="n"/>
      <c r="F40" s="198" t="n"/>
      <c r="G40" s="232" t="str"/>
    </row>
    <row r="41" ht="15" customHeight="1" s="171">
      <c r="B41" s="170" t="inlineStr">
        <is>
          <t>Pension 5</t>
        </is>
      </c>
      <c r="C41" s="194" t="n"/>
      <c r="D41" s="198" t="n"/>
      <c r="E41" s="198" t="n"/>
      <c r="F41" s="198" t="n"/>
      <c r="G41" s="232" t="str"/>
    </row>
    <row r="42" ht="15" customHeight="1" s="171">
      <c r="B42" s="170" t="inlineStr">
        <is>
          <t>Pension 6</t>
        </is>
      </c>
      <c r="C42" s="194" t="n"/>
      <c r="D42" s="198" t="n"/>
      <c r="E42" s="198" t="n"/>
      <c r="F42" s="198" t="n"/>
      <c r="G42" s="232" t="str"/>
    </row>
    <row r="43" ht="15" customHeight="1" s="171">
      <c r="B43" s="170" t="inlineStr">
        <is>
          <t>Pension 7</t>
        </is>
      </c>
      <c r="C43" s="194" t="n"/>
      <c r="D43" s="198" t="n"/>
      <c r="E43" s="198" t="n"/>
      <c r="F43" s="198" t="n"/>
      <c r="G43" s="232" t="str"/>
    </row>
    <row r="44" ht="15" customHeight="1" s="171">
      <c r="B44" s="170" t="inlineStr">
        <is>
          <t>Pension 8</t>
        </is>
      </c>
      <c r="C44" s="194" t="n"/>
      <c r="D44" s="198" t="n"/>
      <c r="E44" s="198" t="n"/>
      <c r="F44" s="198" t="n"/>
      <c r="G44" s="232" t="str"/>
    </row>
    <row r="46" ht="15" customHeight="1" s="171">
      <c r="B46" s="170" t="inlineStr">
        <is>
          <t>Pension value  [Pens_Value_Total]</t>
        </is>
      </c>
      <c r="D46" s="230" t="n">
        <v>0</v>
      </c>
    </row>
    <row r="47" ht="15" customHeight="1" s="171">
      <c r="B47" s="170" t="inlineStr">
        <is>
          <t>Paid in each month (you + employer)  [Pens_Monthly_Total]</t>
        </is>
      </c>
      <c r="D47" s="230" t="n">
        <v>0</v>
      </c>
    </row>
    <row r="48" ht="15" customHeight="1" s="171">
      <c r="B48" s="170" t="inlineStr">
        <is>
          <t>Your own share a month (a blank share uses the share you chose in Plan inputs, else the Settings standard: AS_OwnShare)  [Pens_Own_Total]</t>
        </is>
      </c>
      <c r="D48" s="230" t="n">
        <v>0</v>
      </c>
    </row>
    <row r="49" ht="15" customHeight="1" s="171">
      <c r="B49" s="170" t="inlineStr">
        <is>
          <t>Your own share counts as given (1/0): every pension that is paid into has your share typed, or you chose a share in Plan inputs and at least one is typed  [Pens_OwnGiven]</t>
        </is>
      </c>
      <c r="D49" s="233"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198" t="n"/>
      <c r="D52" s="194" t="n"/>
    </row>
    <row r="53" ht="15" customHeight="1" s="171">
      <c r="B53" s="170" t="inlineStr">
        <is>
          <t>Life cover policy 2</t>
        </is>
      </c>
      <c r="C53" s="198" t="n"/>
      <c r="D53" s="194" t="n"/>
    </row>
    <row r="54" ht="15" customHeight="1" s="171">
      <c r="B54" s="170" t="inlineStr">
        <is>
          <t>Life cover policy 3</t>
        </is>
      </c>
      <c r="C54" s="198" t="n"/>
      <c r="D54" s="194" t="n"/>
    </row>
    <row r="55" ht="15" customHeight="1" s="171">
      <c r="B55" s="170" t="inlineStr">
        <is>
          <t>Life cover policy 4</t>
        </is>
      </c>
      <c r="C55" s="198" t="n"/>
      <c r="D55" s="194" t="n"/>
    </row>
    <row r="56" ht="15" customHeight="1" s="171">
      <c r="B56" s="170" t="inlineStr">
        <is>
          <t>Life cover total  [Cover_Life_Total]</t>
        </is>
      </c>
      <c r="D56" s="230"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198" t="n"/>
      <c r="D58" s="194" t="n"/>
    </row>
    <row r="59" ht="15" customHeight="1" s="171">
      <c r="B59" s="170" t="inlineStr">
        <is>
          <t>Cover through work 2</t>
        </is>
      </c>
      <c r="C59" s="198" t="n"/>
      <c r="D59" s="194" t="n"/>
    </row>
    <row r="60" ht="15" customHeight="1" s="171">
      <c r="B60" s="170" t="inlineStr">
        <is>
          <t>Cover through work 3</t>
        </is>
      </c>
      <c r="C60" s="198" t="n"/>
      <c r="D60" s="194" t="n"/>
    </row>
    <row r="61" ht="15" customHeight="1" s="171">
      <c r="B61" s="170" t="inlineStr">
        <is>
          <t>Cover through work 4</t>
        </is>
      </c>
      <c r="C61" s="198" t="n"/>
      <c r="D61" s="194" t="n"/>
    </row>
    <row r="62" ht="15" customHeight="1" s="171">
      <c r="B62" s="170" t="inlineStr">
        <is>
          <t>Cover through work total (amount, else multiple × salary in C21)  [Cover_Work_Total]</t>
        </is>
      </c>
      <c r="D62" s="230" t="n">
        <v>0</v>
      </c>
    </row>
    <row r="63" ht="15" customHeight="1" s="171">
      <c r="B63" s="170" t="inlineStr">
        <is>
          <t>Existing life cover incl. through work  [Cover_Existing_Total]</t>
        </is>
      </c>
      <c r="D63" s="230"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198" t="n"/>
      <c r="D65" s="194" t="n"/>
    </row>
    <row r="66" ht="15" customHeight="1" s="171">
      <c r="B66" s="170" t="inlineStr">
        <is>
          <t>Income protection policy 2</t>
        </is>
      </c>
      <c r="C66" s="198" t="n"/>
      <c r="D66" s="194" t="n"/>
    </row>
    <row r="67" ht="15" customHeight="1" s="171">
      <c r="B67" s="170" t="inlineStr">
        <is>
          <t>Income protection policy 3</t>
        </is>
      </c>
      <c r="C67" s="198" t="n"/>
      <c r="D67" s="194" t="n"/>
    </row>
    <row r="68" ht="15" customHeight="1" s="171">
      <c r="B68" s="170" t="inlineStr">
        <is>
          <t>Income protection policy 4</t>
        </is>
      </c>
      <c r="C68" s="198" t="n"/>
      <c r="D68" s="194" t="n"/>
    </row>
    <row r="69" ht="15" customHeight="1" s="171">
      <c r="B69" s="170" t="inlineStr">
        <is>
          <t>Income protection total a month  [IP_Listed_Total]</t>
        </is>
      </c>
      <c r="D69" s="230" t="n">
        <v>0</v>
      </c>
    </row>
    <row r="70" ht="15" customHeight="1" s="171">
      <c r="B70" s="175" t="inlineStr">
        <is>
          <t>Policy</t>
        </is>
      </c>
      <c r="C70" s="175" t="inlineStr">
        <is>
          <t>Cover amount (€)</t>
        </is>
      </c>
      <c r="D70" s="175" t="inlineStr">
        <is>
          <t>Term (years)</t>
        </is>
      </c>
    </row>
    <row r="71" ht="15" customHeight="1" s="171">
      <c r="B71" s="170" t="inlineStr">
        <is>
          <t>Serious illness policy 1</t>
        </is>
      </c>
      <c r="C71" s="198" t="n"/>
      <c r="D71" s="194" t="n"/>
    </row>
    <row r="72" ht="15" customHeight="1" s="171">
      <c r="B72" s="170" t="inlineStr">
        <is>
          <t>Serious illness policy 2</t>
        </is>
      </c>
      <c r="C72" s="198" t="n"/>
      <c r="D72" s="194" t="n"/>
    </row>
    <row r="73" ht="15" customHeight="1" s="171">
      <c r="B73" s="170" t="inlineStr">
        <is>
          <t>Serious illness policy 3</t>
        </is>
      </c>
      <c r="C73" s="198" t="n"/>
      <c r="D73" s="194" t="n"/>
    </row>
    <row r="74" ht="15" customHeight="1" s="171">
      <c r="B74" s="170" t="inlineStr">
        <is>
          <t>Serious illness policy 4</t>
        </is>
      </c>
      <c r="C74" s="198" t="n"/>
      <c r="D74" s="194" t="n"/>
    </row>
    <row r="75" ht="15" customHeight="1" s="171">
      <c r="B75" s="170" t="inlineStr">
        <is>
          <t>Serious illness total  [CI_Listed_Total]</t>
        </is>
      </c>
      <c r="D75" s="230" t="n">
        <v>0</v>
      </c>
    </row>
    <row r="76" ht="15" customHeight="1" s="171">
      <c r="B76" s="175" t="inlineStr">
        <is>
          <t>Plan</t>
        </is>
      </c>
      <c r="C76" s="175" t="inlineStr">
        <is>
          <t>Yearly premium (€)</t>
        </is>
      </c>
    </row>
    <row r="77" ht="15" customHeight="1" s="171">
      <c r="B77" s="170" t="inlineStr">
        <is>
          <t>Health insurance plan 1</t>
        </is>
      </c>
      <c r="C77" s="198" t="n"/>
    </row>
    <row r="78" ht="15" customHeight="1" s="171">
      <c r="B78" s="170" t="inlineStr">
        <is>
          <t>Health insurance plan 2</t>
        </is>
      </c>
      <c r="C78" s="198" t="n"/>
    </row>
    <row r="79" ht="15" customHeight="1" s="171">
      <c r="B79" s="170" t="inlineStr">
        <is>
          <t>Health insurance plan 3</t>
        </is>
      </c>
      <c r="C79" s="198" t="n"/>
    </row>
    <row r="80" ht="15" customHeight="1" s="171">
      <c r="B80" s="170" t="inlineStr">
        <is>
          <t>Health insurance plan 4</t>
        </is>
      </c>
      <c r="C80" s="198" t="n"/>
    </row>
    <row r="81" ht="15" customHeight="1" s="171">
      <c r="B81" s="170" t="inlineStr">
        <is>
          <t>Health insurance a year  [Health_Listed_Total]</t>
        </is>
      </c>
      <c r="D81" s="230" t="n">
        <v>0</v>
      </c>
    </row>
    <row r="84" ht="15" customHeight="1" s="171">
      <c r="B84" s="173" t="inlineStr">
        <is>
          <t>Mortgages on other properties (counted as other loans in the plan)</t>
        </is>
      </c>
    </row>
    <row r="85" ht="54.75" customHeight="1" s="171">
      <c r="B85" s="229" t="inlineStr">
        <is>
          <t>Mortgage</t>
        </is>
      </c>
      <c r="C85" s="229" t="inlineStr">
        <is>
          <t>Lender (optional)</t>
        </is>
      </c>
      <c r="D85" s="229" t="inlineStr">
        <is>
          <t>Left on it (€)</t>
        </is>
      </c>
      <c r="E85" s="229" t="inlineStr">
        <is>
          <t>Repaid a month (€)</t>
        </is>
      </c>
      <c r="F85" s="229" t="inlineStr">
        <is>
          <t>Years left</t>
        </is>
      </c>
      <c r="G85" s="229" t="inlineStr">
        <is>
          <t>Rate (optional, e.g. 0.041 = 4.1%)</t>
        </is>
      </c>
      <c r="H85" s="229" t="inlineStr">
        <is>
          <t>Rate used</t>
        </is>
      </c>
      <c r="I85" s="229" t="inlineStr">
        <is>
          <t>Repayment used (€ a month)</t>
        </is>
      </c>
    </row>
    <row r="86" ht="15" customHeight="1" s="171">
      <c r="B86" s="170" t="inlineStr">
        <is>
          <t>Mortgage 1</t>
        </is>
      </c>
      <c r="C86" s="194" t="n"/>
      <c r="D86" s="198" t="n"/>
      <c r="E86" s="198" t="n"/>
      <c r="F86" s="194" t="n"/>
      <c r="G86" s="194" t="n"/>
      <c r="H86" s="234" t="n">
        <v>0.0348</v>
      </c>
      <c r="I86" s="232" t="n">
        <v>0</v>
      </c>
    </row>
    <row r="87" ht="15" customHeight="1" s="171">
      <c r="B87" s="170" t="inlineStr">
        <is>
          <t>Mortgage 2</t>
        </is>
      </c>
      <c r="C87" s="194" t="n"/>
      <c r="D87" s="198" t="n"/>
      <c r="E87" s="198" t="n"/>
      <c r="F87" s="194" t="n"/>
      <c r="G87" s="194" t="n"/>
      <c r="H87" s="234" t="n">
        <v>0.0348</v>
      </c>
      <c r="I87" s="232" t="n">
        <v>0</v>
      </c>
    </row>
    <row r="88" ht="15" customHeight="1" s="171">
      <c r="B88" s="170" t="inlineStr">
        <is>
          <t>Mortgage 3</t>
        </is>
      </c>
      <c r="C88" s="194" t="n"/>
      <c r="D88" s="198" t="n"/>
      <c r="E88" s="198" t="n"/>
      <c r="F88" s="194" t="n"/>
      <c r="G88" s="194" t="n"/>
      <c r="H88" s="234" t="n">
        <v>0.0348</v>
      </c>
      <c r="I88" s="232" t="n">
        <v>0</v>
      </c>
    </row>
    <row r="89" ht="15" customHeight="1" s="171">
      <c r="B89" s="170" t="inlineStr">
        <is>
          <t>Mortgage 4</t>
        </is>
      </c>
      <c r="C89" s="194" t="n"/>
      <c r="D89" s="198" t="n"/>
      <c r="E89" s="198" t="n"/>
      <c r="F89" s="194" t="n"/>
      <c r="G89" s="194" t="n"/>
      <c r="H89" s="234" t="n">
        <v>0.0348</v>
      </c>
      <c r="I89" s="232" t="n">
        <v>0</v>
      </c>
    </row>
    <row r="90" ht="15" customHeight="1" s="171">
      <c r="B90" s="170" t="inlineStr">
        <is>
          <t>Left on other-property mortgages  [Mort2_Bal]</t>
        </is>
      </c>
      <c r="D90" s="233" t="n">
        <v>0</v>
      </c>
    </row>
    <row r="91" ht="15" customHeight="1" s="171">
      <c r="B91" s="170" t="inlineStr">
        <is>
          <t>Repaid a month  [Mort2_Pay]</t>
        </is>
      </c>
      <c r="D91" s="233" t="n">
        <v>0</v>
      </c>
    </row>
    <row r="92" ht="15" customHeight="1" s="171">
      <c r="B92" s="170" t="inlineStr">
        <is>
          <t>Rate, weighted by amount left  [Mort2_Rate]</t>
        </is>
      </c>
      <c r="D92" s="235" t="n">
        <v>0</v>
      </c>
    </row>
    <row r="93" ht="15" customHeight="1" s="171">
      <c r="B93" s="170" t="inlineStr">
        <is>
          <t>Other-property mortgage with no years and no repayment (1 = the plan asks for them)  [Mort2_NeedsTerm]</t>
        </is>
      </c>
      <c r="D93" s="233" t="n">
        <v>0</v>
      </c>
    </row>
    <row r="94" ht="15" customHeight="1" s="171">
      <c r="B94" s="170" t="inlineStr">
        <is>
          <t>Other-property mortgage with no rate (1 = the plan asks for a mortgage rate)  [Mort2_NeedsRate]</t>
        </is>
      </c>
      <c r="D94" s="233"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79" t="inlineStr">
        <is>
          <t>Tax engine: take-home pay, 2026 rules</t>
        </is>
      </c>
    </row>
    <row r="2" ht="15" customHeight="1" s="171">
      <c r="B2" s="236" t="inlineStr">
        <is>
          <t>Irish rules 2026 · checked 2 Oct 2026 · income tax bands and credits, USC and PRSI Class A (all values from the Assumptions register). Used by C25 and C26.</t>
        </is>
      </c>
    </row>
    <row r="4" ht="15" customHeight="1" s="171">
      <c r="B4" s="206" t="inlineStr">
        <is>
          <t>INPUTS</t>
        </is>
      </c>
      <c r="C4" s="207" t="n"/>
      <c r="D4" s="207" t="n"/>
      <c r="E4" s="207" t="n"/>
      <c r="F4" s="237" t="inlineStr">
        <is>
          <t>Example only</t>
        </is>
      </c>
      <c r="G4" s="237" t="inlineStr">
        <is>
          <t>Value used</t>
        </is>
      </c>
    </row>
    <row r="5" ht="15" customHeight="1" s="171">
      <c r="B5" s="180" t="inlineStr">
        <is>
          <t>Tax status</t>
        </is>
      </c>
      <c r="C5" s="238" t="n"/>
      <c r="E5" s="239" t="inlineStr">
        <is>
          <t>Type 3 · your figure. Single, Single parent (main carer of a child, no partner), Married one earner, Married two earners (also civil partners).</t>
        </is>
      </c>
      <c r="F5" s="240" t="inlineStr">
        <is>
          <t>Single</t>
        </is>
      </c>
      <c r="G5" s="241" t="str"/>
    </row>
    <row r="6" ht="15" customHeight="1" s="171">
      <c r="B6" s="180" t="inlineStr">
        <is>
          <t>Your gross yearly pay</t>
        </is>
      </c>
      <c r="C6" s="242" t="n"/>
      <c r="E6" s="239" t="inlineStr">
        <is>
          <t>Type 3 · your figure. Gross pay before tax, € a year.</t>
        </is>
      </c>
      <c r="F6" s="243" t="n">
        <v>60000</v>
      </c>
      <c r="G6" s="244" t="str"/>
    </row>
    <row r="7" ht="15" customHeight="1" s="171">
      <c r="B7" s="180" t="inlineStr">
        <is>
          <t>Partner's gross yearly pay (married two earners only)</t>
        </is>
      </c>
      <c r="C7" s="242" t="n"/>
      <c r="E7" s="239" t="inlineStr">
        <is>
          <t>Type 3 · optional: leave blank for none. Used only when the status is Married two earners.</t>
        </is>
      </c>
      <c r="F7" s="243" t="n">
        <v>0</v>
      </c>
      <c r="G7" s="244" t="n">
        <v>0</v>
      </c>
    </row>
    <row r="8" ht="15" customHeight="1" s="171">
      <c r="B8" s="180" t="inlineStr">
        <is>
          <t>Do you pay rent on your home, not to a relative? (Rent Tax Credit)</t>
        </is>
      </c>
      <c r="C8" s="238" t="n"/>
      <c r="E8" s="239" t="inlineStr">
        <is>
          <t>Type 3 · your figure. Rent Tax Credit €1,000 single / €2,000 jointly assessed, to end-2028.</t>
        </is>
      </c>
      <c r="F8" s="240" t="inlineStr">
        <is>
          <t>No</t>
        </is>
      </c>
      <c r="G8" s="241" t="str"/>
    </row>
    <row r="9" ht="15" customHeight="1" s="171">
      <c r="B9" s="180" t="inlineStr">
        <is>
          <t>Home Carer Tax Credit applies? (married one earner caring for a dependant)</t>
        </is>
      </c>
      <c r="C9" s="238" t="n"/>
      <c r="E9" s="239" t="inlineStr">
        <is>
          <t>Type 3 · your figure. €1,950 (verify the 2026 rate and carer-income limit).</t>
        </is>
      </c>
      <c r="F9" s="240" t="inlineStr">
        <is>
          <t>No</t>
        </is>
      </c>
      <c r="G9" s="241" t="str"/>
    </row>
    <row r="10" ht="15" customHeight="1" s="171">
      <c r="B10" s="180" t="inlineStr">
        <is>
          <t>PRSI rate basis</t>
        </is>
      </c>
      <c r="C10" s="238" t="n"/>
      <c r="E10" s="239" t="inlineStr">
        <is>
          <t>Type 3 · optional: leave blank for none. From 1 Oct 2026 = 4.35%. Calendar 2026 blend = 4.2375% (9 months at 4.2%, 3 at 4.35%).</t>
        </is>
      </c>
      <c r="F10" s="240" t="inlineStr">
        <is>
          <t>From 1 Oct 2026</t>
        </is>
      </c>
      <c r="G10" s="241" t="inlineStr">
        <is>
          <t>From 1 Oct 2026</t>
        </is>
      </c>
    </row>
    <row r="12" ht="15" customHeight="1" s="171">
      <c r="B12" s="206" t="inlineStr">
        <is>
          <t>RESULTS (for the inputs above)</t>
        </is>
      </c>
      <c r="C12" s="207" t="n"/>
      <c r="D12" s="207" t="n"/>
      <c r="E12" s="207" t="n"/>
    </row>
    <row r="13" ht="15" customHeight="1" s="171">
      <c r="B13" s="180" t="inlineStr">
        <is>
          <t>PRSI rate used</t>
        </is>
      </c>
      <c r="C13" s="245" t="n">
        <v>0.0435</v>
      </c>
      <c r="E13" s="246" t="inlineStr">
        <is>
          <t>ƒx  =IF(TE_PRSI_Basis="Calendar 2026 blend",PRSI_Rate_2026_Blend,PRSI_Rate)</t>
        </is>
      </c>
    </row>
    <row r="14" ht="15" customHeight="1" s="171">
      <c r="B14" s="180" t="inlineStr">
        <is>
          <t>Partner's pay counted</t>
        </is>
      </c>
      <c r="C14" s="247" t="inlineStr">
        <is>
          <t>Choose your tax status to see this</t>
        </is>
      </c>
      <c r="E14" s="246" t="inlineStr">
        <is>
          <t>ƒx  =IF(TE_Need&lt;&gt;"",TE_Need,IF(TE_Status="Married two earners",TE_Gross_2,0))</t>
        </is>
      </c>
    </row>
    <row r="15" ht="30" customHeight="1" s="171">
      <c r="B15" s="180" t="inlineStr">
        <is>
          <t>Standard-rate band</t>
        </is>
      </c>
      <c r="C15" s="247" t="inlineStr">
        <is>
          <t>Choose your tax status to see this</t>
        </is>
      </c>
      <c r="E15" s="246" t="inlineStr">
        <is>
          <t>ƒx  =IF(TE_Need&lt;&gt;"",TE_Need,IF(TE_Status="Single",Band_Single,IF(TE_Status="Single parent",Band_Single_Parent,IF(TE_Status="Married one earner",Band_Married,Band_Married+MIN(MIN(TE_Gross_1,TE_Gross_2),Band_Second_Earner_Max)))))</t>
        </is>
      </c>
    </row>
    <row r="16" ht="15" customHeight="1" s="171">
      <c r="B16" s="180" t="inlineStr">
        <is>
          <t>Income taxed (household)</t>
        </is>
      </c>
      <c r="C16" s="247" t="inlineStr">
        <is>
          <t>Choose your tax status to see this</t>
        </is>
      </c>
      <c r="E16" s="246" t="inlineStr">
        <is>
          <t>ƒx  =IF(TE_Need&lt;&gt;"",TE_Need,TE_Gross_1+TE_Earner_2)</t>
        </is>
      </c>
    </row>
    <row r="17" ht="15" customHeight="1" s="171">
      <c r="B17" s="180" t="inlineStr">
        <is>
          <t>Income tax before credits</t>
        </is>
      </c>
      <c r="C17" s="248" t="inlineStr">
        <is>
          <t>Choose your tax status to see this</t>
        </is>
      </c>
      <c r="E17" s="246" t="inlineStr">
        <is>
          <t>ƒx  =IF(TE_Need&lt;&gt;"",TE_Need,Rate_Standard*MIN(TE_Taxable,TE_Band)+Rate_Higher*MAX(0,TE_Taxable-TE_Band))</t>
        </is>
      </c>
    </row>
    <row r="18" ht="30" customHeight="1" s="171">
      <c r="B18" s="180" t="inlineStr">
        <is>
          <t>Tax credits</t>
        </is>
      </c>
      <c r="C18" s="248" t="inlineStr">
        <is>
          <t>Choose your tax status to see this</t>
        </is>
      </c>
      <c r="E18" s="246"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49" t="inlineStr">
        <is>
          <t>Income tax</t>
        </is>
      </c>
      <c r="C19" s="250" t="inlineStr">
        <is>
          <t>Choose your tax status to see this</t>
        </is>
      </c>
      <c r="E19" s="246" t="inlineStr">
        <is>
          <t>ƒx  =IF(TE_Need&lt;&gt;"",TE_Need,MAX(0,TE_Tax_Before_Credits-TE_Credits))</t>
        </is>
      </c>
    </row>
    <row r="20" ht="30" customHeight="1" s="171">
      <c r="B20" s="249" t="inlineStr">
        <is>
          <t>USC (each earner separately)</t>
        </is>
      </c>
      <c r="C20" s="250" t="inlineStr">
        <is>
          <t>Choose your tax status to see this</t>
        </is>
      </c>
      <c r="E20" s="246"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49" t="inlineStr">
        <is>
          <t>PRSI (each earner separately, Class A with the PRSI credit)</t>
        </is>
      </c>
      <c r="C21" s="250" t="inlineStr">
        <is>
          <t>Choose your tax status to see this</t>
        </is>
      </c>
      <c r="E21" s="246"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49" t="inlineStr">
        <is>
          <t>Take-home pay a year (household)</t>
        </is>
      </c>
      <c r="C22" s="250" t="inlineStr">
        <is>
          <t>Choose your tax status to see this</t>
        </is>
      </c>
      <c r="E22" s="246" t="inlineStr">
        <is>
          <t>ƒx  =IF(TE_Need&lt;&gt;"",TE_Need,TE_Taxable-TE_Income_Tax-TE_USC-TE_PRSI)</t>
        </is>
      </c>
    </row>
    <row r="23" ht="15" customHeight="1" s="171">
      <c r="B23" s="249" t="inlineStr">
        <is>
          <t>Take-home pay a month (used by C25, C26)</t>
        </is>
      </c>
      <c r="C23" s="250" t="inlineStr">
        <is>
          <t>Choose your tax status to see this</t>
        </is>
      </c>
      <c r="E23" s="246" t="inlineStr">
        <is>
          <t>ƒx  =IF(TE_Need&lt;&gt;"",TE_Need,TE_Take_Home/12)</t>
        </is>
      </c>
    </row>
    <row r="24" ht="15" customHeight="1" s="171">
      <c r="B24" s="249" t="inlineStr">
        <is>
          <t>Marginal income-tax rate (pre-fills the C13 / C14 tax rate)</t>
        </is>
      </c>
      <c r="C24" s="251" t="inlineStr">
        <is>
          <t>Choose your tax status to see this</t>
        </is>
      </c>
      <c r="E24" s="246" t="inlineStr">
        <is>
          <t>ƒx  =IF(TE_Need&lt;&gt;"",TE_Need,IF(TE_Taxable&gt;TE_Band,Rate_Higher,Rate_Standard))</t>
        </is>
      </c>
    </row>
    <row r="25" ht="15" customHeight="1" s="171">
      <c r="B25" s="225" t="inlineStr">
        <is>
          <t>Choices still needed (helper; blank = all filled)</t>
        </is>
      </c>
      <c r="C25" s="225" t="inlineStr">
        <is>
          <t>Choose your tax status to see this</t>
        </is>
      </c>
    </row>
    <row r="27" ht="15" customHeight="1" s="171">
      <c r="B27" s="206" t="inlineStr">
        <is>
          <t>HOW IT WORKS</t>
        </is>
      </c>
      <c r="C27" s="207" t="n"/>
      <c r="D27" s="207" t="n"/>
      <c r="E27" s="207" t="n"/>
    </row>
    <row r="28" ht="15" customHeight="1" s="171">
      <c r="B28" s="185" t="inlineStr">
        <is>
          <t>• Income tax = 20% up to the band + 40% above, less credits (never below 0). Married couples are jointly assessed: one band of €53,000, plus the lower income up to €35,000 for a second earner.</t>
        </is>
      </c>
    </row>
    <row r="29" ht="15" customHeight="1" s="171">
      <c r="B29" s="185"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5" t="inlineStr">
        <is>
          <t>• USC is charged on each person separately: 0.5% / 2% / 3% / 8%, nil if income ≤ €13,000. PRSI is per person, Class A, with the PRSI credit between €352.01 and €424 a week.</t>
        </is>
      </c>
    </row>
    <row r="31" ht="15" customHeight="1" s="171">
      <c r="B31" s="185" t="inlineStr">
        <is>
          <t>• Not modelled here: age 65+ credits and exemption, PRSI at 66+, self-employed Class S, USC surcharge, other or rental income (see the rules audit).</t>
        </is>
      </c>
    </row>
    <row r="33" ht="15" customHeight="1" s="171">
      <c r="B33" s="206" t="inlineStr">
        <is>
          <t>CHECKS: the audit's §4 tax test table (expected values from deliverables/irish-rules-and-rates-audit.md)</t>
        </is>
      </c>
      <c r="C33" s="207" t="n"/>
      <c r="D33" s="207" t="n"/>
      <c r="E33" s="207" t="n"/>
      <c r="F33" s="207" t="n"/>
      <c r="G33" s="207" t="n"/>
      <c r="H33" s="207" t="n"/>
      <c r="I33" s="207" t="n"/>
      <c r="J33" s="207" t="n"/>
      <c r="K33" s="207" t="n"/>
      <c r="L33" s="207" t="n"/>
      <c r="M33" s="207" t="n"/>
      <c r="N33" s="207" t="n"/>
      <c r="O33" s="207" t="n"/>
      <c r="P33" s="207" t="n"/>
      <c r="Q33" s="207" t="n"/>
      <c r="R33" s="207" t="n"/>
    </row>
    <row r="34" ht="30" customHeight="1" s="171">
      <c r="B34" s="252" t="inlineStr">
        <is>
          <t>Case</t>
        </is>
      </c>
      <c r="C34" s="252" t="inlineStr">
        <is>
          <t>Gross</t>
        </is>
      </c>
      <c r="D34" s="252" t="inlineStr">
        <is>
          <t>Status</t>
        </is>
      </c>
      <c r="E34" s="252" t="inlineStr">
        <is>
          <t>Formula (row uses the same templates as above)</t>
        </is>
      </c>
      <c r="F34" s="252" t="inlineStr">
        <is>
          <t>Income tax</t>
        </is>
      </c>
      <c r="G34" s="252" t="inlineStr">
        <is>
          <t>USC</t>
        </is>
      </c>
      <c r="H34" s="252" t="inlineStr">
        <is>
          <t>PRSI 4.35%</t>
        </is>
      </c>
      <c r="I34" s="252" t="inlineStr">
        <is>
          <t>PRSI 2026 blend</t>
        </is>
      </c>
      <c r="J34" s="252" t="inlineStr">
        <is>
          <t>Take-home 4.35%</t>
        </is>
      </c>
      <c r="K34" s="252" t="inlineStr">
        <is>
          <t>Take-home 2026</t>
        </is>
      </c>
      <c r="L34" s="252" t="inlineStr">
        <is>
          <t>Expected IT</t>
        </is>
      </c>
      <c r="M34" s="252" t="inlineStr">
        <is>
          <t>Expected USC</t>
        </is>
      </c>
      <c r="N34" s="252" t="inlineStr">
        <is>
          <t>Expected take-home 4.35%</t>
        </is>
      </c>
      <c r="O34" s="252" t="inlineStr">
        <is>
          <t>Expected take-home 2026</t>
        </is>
      </c>
      <c r="P34" s="252" t="inlineStr">
        <is>
          <t>Largest difference (engine rounded to the cent; audit table is to the cent)</t>
        </is>
      </c>
      <c r="Q34" s="252" t="inlineStr">
        <is>
          <t>Result</t>
        </is>
      </c>
      <c r="R34" s="252" t="n"/>
    </row>
    <row r="35" ht="15" customHeight="1" s="171">
      <c r="B35" s="185" t="inlineStr">
        <is>
          <t>T1</t>
        </is>
      </c>
      <c r="C35" s="253" t="n">
        <v>25000</v>
      </c>
      <c r="D35" s="185" t="inlineStr">
        <is>
          <t>Single</t>
        </is>
      </c>
      <c r="E35" s="185" t="inlineStr">
        <is>
          <t>Income tax, USC and PRSI templates; married = joint band and €4,000 + PAYE credits</t>
        </is>
      </c>
      <c r="F35" s="254" t="n">
        <v>1000</v>
      </c>
      <c r="G35" s="254" t="n">
        <v>319.82</v>
      </c>
      <c r="H35" s="254" t="n">
        <v>1087.5</v>
      </c>
      <c r="I35" s="254" t="n">
        <v>1059.375</v>
      </c>
      <c r="J35" s="254" t="n">
        <v>22592.68</v>
      </c>
      <c r="K35" s="254" t="n">
        <v>22620.805</v>
      </c>
      <c r="L35" s="254" t="n">
        <v>1000</v>
      </c>
      <c r="M35" s="254" t="n">
        <v>319.82</v>
      </c>
      <c r="N35" s="254" t="n">
        <v>22592.68</v>
      </c>
      <c r="O35" s="254" t="n">
        <v>22620.81</v>
      </c>
      <c r="P35" s="254" t="n">
        <v>0</v>
      </c>
      <c r="Q35" s="255" t="inlineStr">
        <is>
          <t>PASS</t>
        </is>
      </c>
    </row>
    <row r="36" ht="15" customHeight="1" s="171">
      <c r="B36" s="185" t="inlineStr">
        <is>
          <t>T2</t>
        </is>
      </c>
      <c r="C36" s="253" t="n">
        <v>25000</v>
      </c>
      <c r="D36" s="185" t="inlineStr">
        <is>
          <t>Married one earner</t>
        </is>
      </c>
      <c r="E36" s="185" t="inlineStr">
        <is>
          <t>Income tax, USC and PRSI templates; married = joint band and €4,000 + PAYE credits</t>
        </is>
      </c>
      <c r="F36" s="254" t="n">
        <v>0</v>
      </c>
      <c r="G36" s="254" t="n">
        <v>319.82</v>
      </c>
      <c r="H36" s="254" t="n">
        <v>1087.5</v>
      </c>
      <c r="I36" s="254" t="n">
        <v>1059.375</v>
      </c>
      <c r="J36" s="254" t="n">
        <v>23592.68</v>
      </c>
      <c r="K36" s="254" t="n">
        <v>23620.805</v>
      </c>
      <c r="L36" s="254" t="n">
        <v>0</v>
      </c>
      <c r="M36" s="254" t="n">
        <v>319.82</v>
      </c>
      <c r="N36" s="254" t="n">
        <v>23592.68</v>
      </c>
      <c r="O36" s="254" t="n">
        <v>23620.81</v>
      </c>
      <c r="P36" s="254" t="n">
        <v>0</v>
      </c>
      <c r="Q36" s="255" t="inlineStr">
        <is>
          <t>PASS</t>
        </is>
      </c>
    </row>
    <row r="37" ht="15" customHeight="1" s="171">
      <c r="B37" s="185" t="inlineStr">
        <is>
          <t>T3</t>
        </is>
      </c>
      <c r="C37" s="253" t="n">
        <v>45000</v>
      </c>
      <c r="D37" s="185" t="inlineStr">
        <is>
          <t>Single</t>
        </is>
      </c>
      <c r="E37" s="185" t="inlineStr">
        <is>
          <t>Income tax, USC and PRSI templates; married = joint band and €4,000 + PAYE credits</t>
        </is>
      </c>
      <c r="F37" s="254" t="n">
        <v>5200</v>
      </c>
      <c r="G37" s="254" t="n">
        <v>882.8200000000001</v>
      </c>
      <c r="H37" s="254" t="n">
        <v>1957.5</v>
      </c>
      <c r="I37" s="254" t="n">
        <v>1906.875</v>
      </c>
      <c r="J37" s="254" t="n">
        <v>36959.68</v>
      </c>
      <c r="K37" s="254" t="n">
        <v>37010.305</v>
      </c>
      <c r="L37" s="254" t="n">
        <v>5200</v>
      </c>
      <c r="M37" s="254" t="n">
        <v>882.8200000000001</v>
      </c>
      <c r="N37" s="254" t="n">
        <v>36959.68</v>
      </c>
      <c r="O37" s="254" t="n">
        <v>37010.31</v>
      </c>
      <c r="P37" s="254" t="n">
        <v>0</v>
      </c>
      <c r="Q37" s="255" t="inlineStr">
        <is>
          <t>PASS</t>
        </is>
      </c>
    </row>
    <row r="38" ht="15" customHeight="1" s="171">
      <c r="B38" s="185" t="inlineStr">
        <is>
          <t>T4</t>
        </is>
      </c>
      <c r="C38" s="253" t="n">
        <v>45000</v>
      </c>
      <c r="D38" s="185" t="inlineStr">
        <is>
          <t>Married one earner</t>
        </is>
      </c>
      <c r="E38" s="185" t="inlineStr">
        <is>
          <t>Income tax, USC and PRSI templates; married = joint band and €4,000 + PAYE credits</t>
        </is>
      </c>
      <c r="F38" s="254" t="n">
        <v>3000</v>
      </c>
      <c r="G38" s="254" t="n">
        <v>882.8200000000001</v>
      </c>
      <c r="H38" s="254" t="n">
        <v>1957.5</v>
      </c>
      <c r="I38" s="254" t="n">
        <v>1906.875</v>
      </c>
      <c r="J38" s="254" t="n">
        <v>39159.68</v>
      </c>
      <c r="K38" s="254" t="n">
        <v>39210.305</v>
      </c>
      <c r="L38" s="254" t="n">
        <v>3000</v>
      </c>
      <c r="M38" s="254" t="n">
        <v>882.8200000000001</v>
      </c>
      <c r="N38" s="254" t="n">
        <v>39159.68</v>
      </c>
      <c r="O38" s="254" t="n">
        <v>39210.31</v>
      </c>
      <c r="P38" s="254" t="n">
        <v>0</v>
      </c>
      <c r="Q38" s="255" t="inlineStr">
        <is>
          <t>PASS</t>
        </is>
      </c>
    </row>
    <row r="39" ht="15" customHeight="1" s="171">
      <c r="B39" s="185" t="inlineStr">
        <is>
          <t>T5</t>
        </is>
      </c>
      <c r="C39" s="253" t="n">
        <v>80000</v>
      </c>
      <c r="D39" s="185" t="inlineStr">
        <is>
          <t>Single</t>
        </is>
      </c>
      <c r="E39" s="185" t="inlineStr">
        <is>
          <t>Income tax, USC and PRSI templates; married = joint band and €4,000 + PAYE credits</t>
        </is>
      </c>
      <c r="F39" s="254" t="n">
        <v>19200</v>
      </c>
      <c r="G39" s="254" t="n">
        <v>2430.62</v>
      </c>
      <c r="H39" s="254" t="n">
        <v>3480</v>
      </c>
      <c r="I39" s="254" t="n">
        <v>3390</v>
      </c>
      <c r="J39" s="254" t="n">
        <v>54889.38</v>
      </c>
      <c r="K39" s="254" t="n">
        <v>54979.38</v>
      </c>
      <c r="L39" s="254" t="n">
        <v>19200</v>
      </c>
      <c r="M39" s="254" t="n">
        <v>2430.62</v>
      </c>
      <c r="N39" s="254" t="n">
        <v>54889.38</v>
      </c>
      <c r="O39" s="254" t="n">
        <v>54979.38</v>
      </c>
      <c r="P39" s="254" t="n">
        <v>0</v>
      </c>
      <c r="Q39" s="255" t="inlineStr">
        <is>
          <t>PASS</t>
        </is>
      </c>
    </row>
    <row r="40" ht="15" customHeight="1" s="171">
      <c r="B40" s="185" t="inlineStr">
        <is>
          <t>T6</t>
        </is>
      </c>
      <c r="C40" s="253" t="n">
        <v>80000</v>
      </c>
      <c r="D40" s="185" t="inlineStr">
        <is>
          <t>Married one earner</t>
        </is>
      </c>
      <c r="E40" s="185" t="inlineStr">
        <is>
          <t>Income tax, USC and PRSI templates; married = joint band and €4,000 + PAYE credits</t>
        </is>
      </c>
      <c r="F40" s="254" t="n">
        <v>15400</v>
      </c>
      <c r="G40" s="254" t="n">
        <v>2430.62</v>
      </c>
      <c r="H40" s="254" t="n">
        <v>3480</v>
      </c>
      <c r="I40" s="254" t="n">
        <v>3390</v>
      </c>
      <c r="J40" s="254" t="n">
        <v>58689.38</v>
      </c>
      <c r="K40" s="254" t="n">
        <v>58779.38</v>
      </c>
      <c r="L40" s="254" t="n">
        <v>15400</v>
      </c>
      <c r="M40" s="254" t="n">
        <v>2430.62</v>
      </c>
      <c r="N40" s="254" t="n">
        <v>58689.38</v>
      </c>
      <c r="O40" s="254" t="n">
        <v>58779.38</v>
      </c>
      <c r="P40" s="254" t="n">
        <v>0</v>
      </c>
      <c r="Q40" s="255" t="inlineStr">
        <is>
          <t>PASS</t>
        </is>
      </c>
    </row>
    <row r="41" ht="15" customHeight="1" s="171">
      <c r="B41" s="185" t="inlineStr">
        <is>
          <t>T7</t>
        </is>
      </c>
      <c r="C41" s="253" t="n">
        <v>150000</v>
      </c>
      <c r="D41" s="185" t="inlineStr">
        <is>
          <t>Single</t>
        </is>
      </c>
      <c r="E41" s="185" t="inlineStr">
        <is>
          <t>Income tax, USC and PRSI templates; married = joint band and €4,000 + PAYE credits</t>
        </is>
      </c>
      <c r="F41" s="254" t="n">
        <v>47200</v>
      </c>
      <c r="G41" s="254" t="n">
        <v>8030.62</v>
      </c>
      <c r="H41" s="254" t="n">
        <v>6525</v>
      </c>
      <c r="I41" s="254" t="n">
        <v>6356.25</v>
      </c>
      <c r="J41" s="254" t="n">
        <v>88244.38</v>
      </c>
      <c r="K41" s="254" t="n">
        <v>88413.13</v>
      </c>
      <c r="L41" s="254" t="n">
        <v>47200</v>
      </c>
      <c r="M41" s="254" t="n">
        <v>8030.62</v>
      </c>
      <c r="N41" s="254" t="n">
        <v>88244.38</v>
      </c>
      <c r="O41" s="254" t="n">
        <v>88413.13</v>
      </c>
      <c r="P41" s="254" t="n">
        <v>0</v>
      </c>
      <c r="Q41" s="255" t="inlineStr">
        <is>
          <t>PASS</t>
        </is>
      </c>
    </row>
    <row r="42" ht="15" customHeight="1" s="171">
      <c r="B42" s="185" t="inlineStr">
        <is>
          <t>T8</t>
        </is>
      </c>
      <c r="C42" s="253" t="n">
        <v>150000</v>
      </c>
      <c r="D42" s="185" t="inlineStr">
        <is>
          <t>Married one earner</t>
        </is>
      </c>
      <c r="E42" s="185" t="inlineStr">
        <is>
          <t>Income tax, USC and PRSI templates; married = joint band and €4,000 + PAYE credits</t>
        </is>
      </c>
      <c r="F42" s="254" t="n">
        <v>43400</v>
      </c>
      <c r="G42" s="254" t="n">
        <v>8030.62</v>
      </c>
      <c r="H42" s="254" t="n">
        <v>6525</v>
      </c>
      <c r="I42" s="254" t="n">
        <v>6356.25</v>
      </c>
      <c r="J42" s="254" t="n">
        <v>92044.38</v>
      </c>
      <c r="K42" s="254" t="n">
        <v>92213.13</v>
      </c>
      <c r="L42" s="254" t="n">
        <v>43400</v>
      </c>
      <c r="M42" s="254" t="n">
        <v>8030.62</v>
      </c>
      <c r="N42" s="254" t="n">
        <v>92044.38</v>
      </c>
      <c r="O42" s="254" t="n">
        <v>92213.13</v>
      </c>
      <c r="P42" s="254" t="n">
        <v>0</v>
      </c>
      <c r="Q42" s="255" t="inlineStr">
        <is>
          <t>PASS</t>
        </is>
      </c>
    </row>
    <row r="43" ht="15" customHeight="1" s="171">
      <c r="B43" s="185" t="inlineStr">
        <is>
          <t>T9</t>
        </is>
      </c>
      <c r="C43" s="253" t="n">
        <v>60000</v>
      </c>
      <c r="D43" s="185" t="inlineStr">
        <is>
          <t>Married two earners</t>
        </is>
      </c>
      <c r="E43" s="185" t="inlineStr">
        <is>
          <t>Income tax only (partner €30,000 in column R)</t>
        </is>
      </c>
      <c r="F43" s="254" t="n">
        <v>11400</v>
      </c>
      <c r="G43" s="185" t="n"/>
      <c r="H43" s="185" t="n"/>
      <c r="I43" s="185" t="n"/>
      <c r="J43" s="185" t="n"/>
      <c r="K43" s="185" t="n"/>
      <c r="L43" s="254" t="n">
        <v>11400</v>
      </c>
      <c r="M43" s="185" t="n"/>
      <c r="N43" s="185" t="n"/>
      <c r="O43" s="185" t="n"/>
      <c r="P43" s="254" t="n">
        <v>0</v>
      </c>
      <c r="Q43" s="255" t="inlineStr">
        <is>
          <t>PASS</t>
        </is>
      </c>
      <c r="R43" s="253" t="n">
        <v>30000</v>
      </c>
    </row>
    <row r="44" ht="15" customHeight="1" s="171">
      <c r="B44" s="185" t="inlineStr">
        <is>
          <t>T10</t>
        </is>
      </c>
      <c r="C44" s="253" t="n">
        <v>80000</v>
      </c>
      <c r="D44" s="185" t="inlineStr">
        <is>
          <t>Married two earners</t>
        </is>
      </c>
      <c r="E44" s="185" t="inlineStr">
        <is>
          <t>Income tax only (partner €50,000 in column R)</t>
        </is>
      </c>
      <c r="F44" s="254" t="n">
        <v>26400</v>
      </c>
      <c r="G44" s="185" t="n"/>
      <c r="H44" s="185" t="n"/>
      <c r="I44" s="185" t="n"/>
      <c r="J44" s="185" t="n"/>
      <c r="K44" s="185" t="n"/>
      <c r="L44" s="254" t="n">
        <v>26400</v>
      </c>
      <c r="M44" s="185" t="n"/>
      <c r="N44" s="185" t="n"/>
      <c r="O44" s="185" t="n"/>
      <c r="P44" s="254" t="n">
        <v>0</v>
      </c>
      <c r="Q44" s="255" t="inlineStr">
        <is>
          <t>PASS</t>
        </is>
      </c>
      <c r="R44" s="253" t="n">
        <v>50000</v>
      </c>
    </row>
    <row r="45" ht="15" customHeight="1" s="171">
      <c r="B45" s="185" t="inlineStr">
        <is>
          <t>T11</t>
        </is>
      </c>
      <c r="C45" s="253" t="n">
        <v>45000</v>
      </c>
      <c r="D45" s="185" t="inlineStr">
        <is>
          <t>Married two earners</t>
        </is>
      </c>
      <c r="E45" s="185" t="inlineStr">
        <is>
          <t>Income tax only (partner €45,000 in column R)</t>
        </is>
      </c>
      <c r="F45" s="254" t="n">
        <v>10400</v>
      </c>
      <c r="G45" s="185" t="n"/>
      <c r="H45" s="185" t="n"/>
      <c r="I45" s="185" t="n"/>
      <c r="J45" s="185" t="n"/>
      <c r="K45" s="185" t="n"/>
      <c r="L45" s="254" t="n">
        <v>10400</v>
      </c>
      <c r="M45" s="185" t="n"/>
      <c r="N45" s="185" t="n"/>
      <c r="O45" s="185" t="n"/>
      <c r="P45" s="254" t="n">
        <v>0</v>
      </c>
      <c r="Q45" s="255" t="inlineStr">
        <is>
          <t>PASS</t>
        </is>
      </c>
      <c r="R45" s="253" t="n">
        <v>45000</v>
      </c>
    </row>
    <row r="46" ht="15" customHeight="1" s="171">
      <c r="B46" s="249" t="inlineStr">
        <is>
          <t>All checks</t>
        </is>
      </c>
      <c r="Q46" s="256"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7" t="inlineStr">
        <is>
          <t>LifeMap calculators</t>
        </is>
      </c>
    </row>
    <row r="2" ht="15" customHeight="1" s="171">
      <c r="B2" s="239"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58" t="inlineStr">
        <is>
          <t>Fill example values? (Yes/No)</t>
        </is>
      </c>
      <c r="C3" s="259" t="inlineStr">
        <is>
          <t>No</t>
        </is>
      </c>
      <c r="D3" s="260" t="inlineStr">
        <is>
          <t>Example only: Yes fills every blank input with its grey figure, so testers see numbers. Default No (blank template).</t>
        </is>
      </c>
    </row>
    <row r="4" ht="15" customHeight="1" s="171">
      <c r="B4" s="261" t="inlineStr">
        <is>
          <t>How to use</t>
        </is>
      </c>
    </row>
    <row r="5" ht="15" customHeight="1" s="171">
      <c r="B5" s="180" t="inlineStr">
        <is>
          <t>• Open a calculator from the list below. Fill the yellow cells (blue text): everything else updates on its own.</t>
        </is>
      </c>
    </row>
    <row r="6" ht="15" customHeight="1" s="171">
      <c r="B6" s="180"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0"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0" t="inlineStr">
        <is>
          <t>• Each input cell shows its unit and allowed range when you click it, and refuses values outside it. The default is in the cell note and at the far right.</t>
        </is>
      </c>
    </row>
    <row r="9" ht="15" customHeight="1" s="171">
      <c r="B9" s="180"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0"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0" t="inlineStr">
        <is>
          <t>• Results are in the green box, each with its formula written out beside it. Formulas use names (e.g. =Amount*(1+Inflation)^Years) so they read like the maths.</t>
        </is>
      </c>
    </row>
    <row r="12" ht="15" customHeight="1" s="171">
      <c r="B12" s="180"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0"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0"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1" t="inlineStr">
        <is>
          <t>Colour legend</t>
        </is>
      </c>
    </row>
    <row r="17" ht="15" customHeight="1" s="171">
      <c r="B17" s="180" t="inlineStr">
        <is>
          <t>• Yellow fill, blue text = an input you type.</t>
        </is>
      </c>
    </row>
    <row r="18" ht="15" customHeight="1" s="171">
      <c r="B18" s="180" t="inlineStr">
        <is>
          <t>• Grey-blue fill, blue text = a figure the document reader fills from a statement (blank when there is none).</t>
        </is>
      </c>
    </row>
    <row r="19" ht="15" customHeight="1" s="171">
      <c r="B19" s="180" t="inlineStr">
        <is>
          <t>• Green box, bold = a result.</t>
        </is>
      </c>
    </row>
    <row r="20" ht="15" customHeight="1" s="171">
      <c r="B20" s="180" t="inlineStr">
        <is>
          <t>• Grey box = a working figure behind a result.</t>
        </is>
      </c>
    </row>
    <row r="21" ht="15" customHeight="1" s="171">
      <c r="B21" s="180" t="inlineStr">
        <is>
          <t>• Grey text = defaults, ranges and notes.</t>
        </is>
      </c>
    </row>
    <row r="22" ht="15" customHeight="1" s="171">
      <c r="B22" s="180" t="inlineStr">
        <is>
          <t>• Orange = a warning message shown to the customer.</t>
        </is>
      </c>
    </row>
    <row r="23" ht="15" customHeight="1" s="171">
      <c r="B23" s="180" t="inlineStr">
        <is>
          <t>• Light-blue sheet tab and light-blue fill = a Plan sheet or a working figure of the main plan (not a calculator). Teal sheet tab = a UI layer sheet added by tools/build_ui_sheets.py.</t>
        </is>
      </c>
    </row>
    <row r="24" ht="15" customHeight="1" s="171">
      <c r="B24" s="261" t="inlineStr">
        <is>
          <t>Numbering</t>
        </is>
      </c>
    </row>
    <row r="25" ht="15" customHeight="1" s="171">
      <c r="B25" s="180" t="inlineStr">
        <is>
          <t>• C01–C28 in the order of the prototype's CALCS array; the same numbers are used in the UI/UX spec. The Plan sheets have no numbers; they are named "Plan ..." and sit after C28.</t>
        </is>
      </c>
    </row>
    <row r="27" ht="15" customHeight="1" s="171">
      <c r="B27" s="261" t="inlineStr">
        <is>
          <t>Plan sheets (the main plan in Make my plan)</t>
        </is>
      </c>
    </row>
    <row r="28" ht="48" customHeight="1" s="171">
      <c r="B28" s="262"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1" t="inlineStr">
        <is>
          <t>Calculators</t>
        </is>
      </c>
    </row>
    <row r="31" ht="15" customHeight="1" s="171">
      <c r="B31" s="263" t="inlineStr">
        <is>
          <t>No.</t>
        </is>
      </c>
      <c r="C31" s="263" t="inlineStr">
        <is>
          <t>Calculator (click to open)</t>
        </is>
      </c>
      <c r="D31" s="263" t="inlineStr">
        <is>
          <t>Question it answers</t>
        </is>
      </c>
      <c r="E31" s="263" t="inlineStr">
        <is>
          <t>Category</t>
        </is>
      </c>
    </row>
    <row r="32" ht="15" customHeight="1" s="171">
      <c r="B32" s="249" t="inlineStr">
        <is>
          <t>C01</t>
        </is>
      </c>
      <c r="C32" s="264" t="inlineStr">
        <is>
          <t>How much could I borrow?</t>
        </is>
      </c>
      <c r="D32" s="185" t="inlineStr">
        <is>
          <t>What home price could be within reach?</t>
        </is>
      </c>
      <c r="E32" s="185" t="inlineStr">
        <is>
          <t>Home &amp; Mortgage</t>
        </is>
      </c>
    </row>
    <row r="33" ht="15" customHeight="1" s="171">
      <c r="B33" s="249" t="inlineStr">
        <is>
          <t>C02</t>
        </is>
      </c>
      <c r="C33" s="264" t="inlineStr">
        <is>
          <t>Monthly mortgage repayment</t>
        </is>
      </c>
      <c r="D33" s="185" t="inlineStr">
        <is>
          <t>What would my monthly repayment be?</t>
        </is>
      </c>
      <c r="E33" s="185" t="inlineStr">
        <is>
          <t>Home &amp; Mortgage</t>
        </is>
      </c>
    </row>
    <row r="34" ht="15" customHeight="1" s="171">
      <c r="B34" s="249" t="inlineStr">
        <is>
          <t>C03</t>
        </is>
      </c>
      <c r="C34" s="264" t="inlineStr">
        <is>
          <t>Deposit calculator</t>
        </is>
      </c>
      <c r="D34" s="185" t="inlineStr">
        <is>
          <t>How long until I have my deposit?</t>
        </is>
      </c>
      <c r="E34" s="185" t="inlineStr">
        <is>
          <t>Home &amp; Mortgage</t>
        </is>
      </c>
    </row>
    <row r="35" ht="15" customHeight="1" s="171">
      <c r="B35" s="249" t="inlineStr">
        <is>
          <t>C04</t>
        </is>
      </c>
      <c r="C35" s="264" t="inlineStr">
        <is>
          <t>Mortgage overpayment</t>
        </is>
      </c>
      <c r="D35" s="185" t="inlineStr">
        <is>
          <t>What if I paid a little extra each month?</t>
        </is>
      </c>
      <c r="E35" s="185" t="inlineStr">
        <is>
          <t>Home &amp; Mortgage</t>
        </is>
      </c>
    </row>
    <row r="36" ht="15" customHeight="1" s="171">
      <c r="B36" s="249" t="inlineStr">
        <is>
          <t>C05</t>
        </is>
      </c>
      <c r="C36" s="264" t="inlineStr">
        <is>
          <t>Interest-rate impact</t>
        </is>
      </c>
      <c r="D36" s="185" t="inlineStr">
        <is>
          <t>What if my mortgage rate changed?</t>
        </is>
      </c>
      <c r="E36" s="185" t="inlineStr">
        <is>
          <t>Home &amp; Mortgage</t>
        </is>
      </c>
    </row>
    <row r="37" ht="15" customHeight="1" s="171">
      <c r="B37" s="249" t="inlineStr">
        <is>
          <t>C06</t>
        </is>
      </c>
      <c r="C37" s="264" t="inlineStr">
        <is>
          <t>Mortgage term comparison</t>
        </is>
      </c>
      <c r="D37" s="185" t="inlineStr">
        <is>
          <t>Shorter or longer term: what is the trade-off?</t>
        </is>
      </c>
      <c r="E37" s="185" t="inlineStr">
        <is>
          <t>Home &amp; Mortgage</t>
        </is>
      </c>
    </row>
    <row r="38" ht="15" customHeight="1" s="171">
      <c r="B38" s="249" t="inlineStr">
        <is>
          <t>C07</t>
        </is>
      </c>
      <c r="C38" s="264" t="inlineStr">
        <is>
          <t>Rent vs buy</t>
        </is>
      </c>
      <c r="D38" s="185" t="inlineStr">
        <is>
          <t>How do renting and buying compare over time?</t>
        </is>
      </c>
      <c r="E38" s="185" t="inlineStr">
        <is>
          <t>Home &amp; Mortgage</t>
        </is>
      </c>
    </row>
    <row r="39" ht="15" customHeight="1" s="171">
      <c r="B39" s="249" t="inlineStr">
        <is>
          <t>C08</t>
        </is>
      </c>
      <c r="C39" s="264" t="inlineStr">
        <is>
          <t>Goal planner</t>
        </is>
      </c>
      <c r="D39" s="185" t="inlineStr">
        <is>
          <t>How much a month to reach my goal?</t>
        </is>
      </c>
      <c r="E39" s="185" t="inlineStr">
        <is>
          <t>Savings &amp; Goals</t>
        </is>
      </c>
    </row>
    <row r="40" ht="15" customHeight="1" s="171">
      <c r="B40" s="249" t="inlineStr">
        <is>
          <t>C09</t>
        </is>
      </c>
      <c r="C40" s="264" t="inlineStr">
        <is>
          <t>Compound growth</t>
        </is>
      </c>
      <c r="D40" s="185" t="inlineStr">
        <is>
          <t>What could regular saving grow into?</t>
        </is>
      </c>
      <c r="E40" s="185" t="inlineStr">
        <is>
          <t>Savings &amp; Goals</t>
        </is>
      </c>
    </row>
    <row r="41" ht="15" customHeight="1" s="171">
      <c r="B41" s="249" t="inlineStr">
        <is>
          <t>C10</t>
        </is>
      </c>
      <c r="C41" s="264" t="inlineStr">
        <is>
          <t>Lump-sum growth</t>
        </is>
      </c>
      <c r="D41" s="185" t="inlineStr">
        <is>
          <t>What could a one-off amount become?</t>
        </is>
      </c>
      <c r="E41" s="185" t="inlineStr">
        <is>
          <t>Investments</t>
        </is>
      </c>
    </row>
    <row r="42" ht="15" customHeight="1" s="171">
      <c r="B42" s="249" t="inlineStr">
        <is>
          <t>C11</t>
        </is>
      </c>
      <c r="C42" s="264" t="inlineStr">
        <is>
          <t>Emergency fund</t>
        </is>
      </c>
      <c r="D42" s="185" t="inlineStr">
        <is>
          <t>How strong is my emergency fund?</t>
        </is>
      </c>
      <c r="E42" s="185" t="inlineStr">
        <is>
          <t>Savings &amp; Goals</t>
        </is>
      </c>
    </row>
    <row r="43" ht="15" customHeight="1" s="171">
      <c r="B43" s="249" t="inlineStr">
        <is>
          <t>C12</t>
        </is>
      </c>
      <c r="C43" s="264" t="inlineStr">
        <is>
          <t>Retirement projection</t>
        </is>
      </c>
      <c r="D43" s="185" t="inlineStr">
        <is>
          <t>Could your current path fund the retirement you want?</t>
        </is>
      </c>
      <c r="E43" s="185" t="inlineStr">
        <is>
          <t>Pensions &amp; Retirement</t>
        </is>
      </c>
    </row>
    <row r="44" ht="15" customHeight="1" s="171">
      <c r="B44" s="249" t="inlineStr">
        <is>
          <t>C13</t>
        </is>
      </c>
      <c r="C44" s="264" t="inlineStr">
        <is>
          <t>Contribution impact</t>
        </is>
      </c>
      <c r="D44" s="185" t="inlineStr">
        <is>
          <t>What difference would a small increase make?</t>
        </is>
      </c>
      <c r="E44" s="185" t="inlineStr">
        <is>
          <t>Pensions &amp; Retirement</t>
        </is>
      </c>
    </row>
    <row r="45" ht="15" customHeight="1" s="171">
      <c r="B45" s="249" t="inlineStr">
        <is>
          <t>C14</t>
        </is>
      </c>
      <c r="C45" s="264" t="inlineStr">
        <is>
          <t>AVC impact</t>
        </is>
      </c>
      <c r="D45" s="185" t="inlineStr">
        <is>
          <t>What could extra voluntary contributions add?</t>
        </is>
      </c>
      <c r="E45" s="185" t="inlineStr">
        <is>
          <t>Pensions &amp; Retirement</t>
        </is>
      </c>
    </row>
    <row r="46" ht="15" customHeight="1" s="171">
      <c r="B46" s="249" t="inlineStr">
        <is>
          <t>C15</t>
        </is>
      </c>
      <c r="C46" s="264" t="inlineStr">
        <is>
          <t>Will my money last?</t>
        </is>
      </c>
      <c r="D46" s="185" t="inlineStr">
        <is>
          <t>How long could my retirement savings last?</t>
        </is>
      </c>
      <c r="E46" s="185" t="inlineStr">
        <is>
          <t>Pensions &amp; Retirement</t>
        </is>
      </c>
    </row>
    <row r="47" ht="15" customHeight="1" s="171">
      <c r="B47" s="249" t="inlineStr">
        <is>
          <t>C16</t>
        </is>
      </c>
      <c r="C47" s="264" t="inlineStr">
        <is>
          <t>Retirement drawdown scenarios</t>
        </is>
      </c>
      <c r="D47" s="185" t="inlineStr">
        <is>
          <t>How do different growth rates change things?</t>
        </is>
      </c>
      <c r="E47" s="185" t="inlineStr">
        <is>
          <t>Pensions &amp; Retirement</t>
        </is>
      </c>
    </row>
    <row r="48" ht="15" customHeight="1" s="171">
      <c r="B48" s="249" t="inlineStr">
        <is>
          <t>C17</t>
        </is>
      </c>
      <c r="C48" s="264" t="inlineStr">
        <is>
          <t>Inflation-adjusted return</t>
        </is>
      </c>
      <c r="D48" s="185" t="inlineStr">
        <is>
          <t>What is my money really worth in future?</t>
        </is>
      </c>
      <c r="E48" s="185" t="inlineStr">
        <is>
          <t>Investments</t>
        </is>
      </c>
    </row>
    <row r="49" ht="15" customHeight="1" s="171">
      <c r="B49" s="249" t="inlineStr">
        <is>
          <t>C18</t>
        </is>
      </c>
      <c r="C49" s="264" t="inlineStr">
        <is>
          <t>Regular investing</t>
        </is>
      </c>
      <c r="D49" s="185" t="inlineStr">
        <is>
          <t>What could investing monthly build?</t>
        </is>
      </c>
      <c r="E49" s="185" t="inlineStr">
        <is>
          <t>Investments</t>
        </is>
      </c>
    </row>
    <row r="50" ht="15" customHeight="1" s="171">
      <c r="B50" s="249" t="inlineStr">
        <is>
          <t>C19</t>
        </is>
      </c>
      <c r="C50" s="264" t="inlineStr">
        <is>
          <t>Fees impact</t>
        </is>
      </c>
      <c r="D50" s="185" t="inlineStr">
        <is>
          <t>How much do fees really cost over time?</t>
        </is>
      </c>
      <c r="E50" s="185" t="inlineStr">
        <is>
          <t>Investments</t>
        </is>
      </c>
    </row>
    <row r="51" ht="15" customHeight="1" s="171">
      <c r="B51" s="249" t="inlineStr">
        <is>
          <t>C20</t>
        </is>
      </c>
      <c r="C51" s="264" t="inlineStr">
        <is>
          <t>Risk &amp; return simulator</t>
        </is>
      </c>
      <c r="D51" s="185" t="inlineStr">
        <is>
          <t>What range of outcomes might each style have?</t>
        </is>
      </c>
      <c r="E51" s="185" t="inlineStr">
        <is>
          <t>Investments</t>
        </is>
      </c>
    </row>
    <row r="52" ht="15" customHeight="1" s="171">
      <c r="B52" s="249" t="inlineStr">
        <is>
          <t>C21</t>
        </is>
      </c>
      <c r="C52" s="264" t="inlineStr">
        <is>
          <t>Life cover estimator</t>
        </is>
      </c>
      <c r="D52" s="185" t="inlineStr">
        <is>
          <t>How much cover might my family need?</t>
        </is>
      </c>
      <c r="E52" s="185" t="inlineStr">
        <is>
          <t>Protection</t>
        </is>
      </c>
    </row>
    <row r="53" ht="15" customHeight="1" s="171">
      <c r="B53" s="249" t="inlineStr">
        <is>
          <t>C22</t>
        </is>
      </c>
      <c r="C53" s="264" t="inlineStr">
        <is>
          <t>Income protection gap</t>
        </is>
      </c>
      <c r="D53" s="185" t="inlineStr">
        <is>
          <t>How long could I cope if I couldn't work?</t>
        </is>
      </c>
      <c r="E53" s="185" t="inlineStr">
        <is>
          <t>Protection</t>
        </is>
      </c>
    </row>
    <row r="54" ht="15" customHeight="1" s="171">
      <c r="B54" s="249" t="inlineStr">
        <is>
          <t>C23</t>
        </is>
      </c>
      <c r="C54" s="264" t="inlineStr">
        <is>
          <t>Mortgage protection</t>
        </is>
      </c>
      <c r="D54" s="185" t="inlineStr">
        <is>
          <t>What cover would clear my mortgage?</t>
        </is>
      </c>
      <c r="E54" s="185" t="inlineStr">
        <is>
          <t>Protection</t>
        </is>
      </c>
    </row>
    <row r="55" ht="15" customHeight="1" s="171">
      <c r="B55" s="249" t="inlineStr">
        <is>
          <t>C24</t>
        </is>
      </c>
      <c r="C55" s="264" t="inlineStr">
        <is>
          <t>Net worth</t>
        </is>
      </c>
      <c r="D55" s="185" t="inlineStr">
        <is>
          <t>What am I worth, all in?</t>
        </is>
      </c>
      <c r="E55" s="185" t="inlineStr">
        <is>
          <t>Everyday Money</t>
        </is>
      </c>
    </row>
    <row r="56" ht="15" customHeight="1" s="171">
      <c r="B56" s="249" t="inlineStr">
        <is>
          <t>C25</t>
        </is>
      </c>
      <c r="C56" s="264" t="inlineStr">
        <is>
          <t>Monthly surplus</t>
        </is>
      </c>
      <c r="D56" s="185" t="inlineStr">
        <is>
          <t>What is left at the end of the month?</t>
        </is>
      </c>
      <c r="E56" s="185" t="inlineStr">
        <is>
          <t>Everyday Money</t>
        </is>
      </c>
    </row>
    <row r="57" ht="15" customHeight="1" s="171">
      <c r="B57" s="249" t="inlineStr">
        <is>
          <t>C26</t>
        </is>
      </c>
      <c r="C57" s="264" t="inlineStr">
        <is>
          <t>Budget (50/30/20)</t>
        </is>
      </c>
      <c r="D57" s="185" t="inlineStr">
        <is>
          <t>A simple way to split your pay</t>
        </is>
      </c>
      <c r="E57" s="185" t="inlineStr">
        <is>
          <t>Everyday Money</t>
        </is>
      </c>
    </row>
    <row r="58" ht="15" customHeight="1" s="171">
      <c r="B58" s="249" t="inlineStr">
        <is>
          <t>C27</t>
        </is>
      </c>
      <c r="C58" s="264" t="inlineStr">
        <is>
          <t>Debt repayment</t>
        </is>
      </c>
      <c r="D58" s="185" t="inlineStr">
        <is>
          <t>How fast can I clear my debt?</t>
        </is>
      </c>
      <c r="E58" s="185" t="inlineStr">
        <is>
          <t>Everyday Money</t>
        </is>
      </c>
    </row>
    <row r="59" ht="15" customHeight="1" s="171">
      <c r="B59" s="249" t="inlineStr">
        <is>
          <t>C28</t>
        </is>
      </c>
      <c r="C59" s="264" t="inlineStr">
        <is>
          <t>Loan repayment</t>
        </is>
      </c>
      <c r="D59" s="185" t="inlineStr">
        <is>
          <t>What would a loan cost me?</t>
        </is>
      </c>
      <c r="E59" s="185" t="inlineStr">
        <is>
          <t>Everyday Money</t>
        </is>
      </c>
    </row>
    <row r="60" ht="15" customHeight="1" s="171">
      <c r="C60" s="264" t="inlineStr">
        <is>
          <t>Assumptions</t>
        </is>
      </c>
    </row>
    <row r="61" ht="15" customHeight="1" s="171">
      <c r="C61" s="264" t="inlineStr">
        <is>
          <t>Tax engine</t>
        </is>
      </c>
    </row>
    <row r="62" ht="15" customHeight="1" s="171">
      <c r="C62" s="264" t="inlineStr">
        <is>
          <t>Document reader spec</t>
        </is>
      </c>
    </row>
    <row r="64" ht="15" customHeight="1" s="171">
      <c r="B64" s="206" t="inlineStr">
        <is>
          <t>BUDGET 2027 (announced 6 Oct 2026): not applied yet</t>
        </is>
      </c>
      <c r="C64" s="207" t="n"/>
      <c r="D64" s="207" t="n"/>
      <c r="E64" s="207" t="n"/>
      <c r="F64" s="207" t="n"/>
      <c r="G64" s="207" t="n"/>
      <c r="H64" s="207" t="n"/>
    </row>
    <row r="65" ht="42" customHeight="1" s="171">
      <c r="B65" s="209"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08" t="inlineStr">
        <is>
          <t>Constant (2026 value, unchanged)</t>
        </is>
      </c>
      <c r="C66" s="208" t="inlineStr">
        <is>
          <t>Name(s) to update</t>
        </is>
      </c>
      <c r="D66" s="208" t="inlineStr">
        <is>
          <t>Status</t>
        </is>
      </c>
    </row>
    <row r="67" ht="25.5" customHeight="1" s="171">
      <c r="B67" s="212" t="inlineStr">
        <is>
          <t>Income-tax bands (€44,000 / €48,000 / €53,000; €35,000 second-earner uplift)</t>
        </is>
      </c>
      <c r="C67" s="212" t="inlineStr">
        <is>
          <t>Band_Single, Band_Single_Parent, Band_Married, Band_Second_Earner_Max</t>
        </is>
      </c>
      <c r="D67" s="212" t="inlineStr">
        <is>
          <t>2026 value kept until final and official</t>
        </is>
      </c>
    </row>
    <row r="68" ht="25.5" customHeight="1" s="171">
      <c r="B68" s="212" t="inlineStr">
        <is>
          <t>Personal and PAYE credits (€2,000 + €2,000; €4,000 married)</t>
        </is>
      </c>
      <c r="C68" s="212" t="inlineStr">
        <is>
          <t>Credit_Personal_Single, Credit_Personal_Married, Credit_PAYE</t>
        </is>
      </c>
      <c r="D68" s="212" t="inlineStr">
        <is>
          <t>2026 value kept until final and official</t>
        </is>
      </c>
    </row>
    <row r="69" ht="25.5" customHeight="1" s="171">
      <c r="B69" s="212" t="inlineStr">
        <is>
          <t>Rent, Home Carer and SPCCC credits (€1,000 / €1,950 / €1,900)</t>
        </is>
      </c>
      <c r="C69" s="212" t="inlineStr">
        <is>
          <t>Credit_Rent_Single, Credit_Rent_Joint, Credit_Home_Carer, Credit_SPCCC</t>
        </is>
      </c>
      <c r="D69" s="212" t="inlineStr">
        <is>
          <t>2026 value kept until final and official</t>
        </is>
      </c>
    </row>
    <row r="70" ht="25.5" customHeight="1" s="171">
      <c r="B70" s="212" t="inlineStr">
        <is>
          <t>USC bands (€12,012 / €28,700 / €70,044) and exemption €13,000</t>
        </is>
      </c>
      <c r="C70" s="212" t="inlineStr">
        <is>
          <t>USC_Band_1–3, USC_Exempt</t>
        </is>
      </c>
      <c r="D70" s="212" t="inlineStr">
        <is>
          <t>2026 value kept until final and official</t>
        </is>
      </c>
    </row>
    <row r="71" ht="25.5" customHeight="1" s="171">
      <c r="B71" s="212" t="inlineStr">
        <is>
          <t>PRSI path (4.35% now; 4.5% from 1 Oct 2027; 4.7% from 1 Oct 2028)</t>
        </is>
      </c>
      <c r="C71" s="212" t="inlineStr">
        <is>
          <t>PRSI_Rate, PRSI credit</t>
        </is>
      </c>
      <c r="D71" s="212" t="inlineStr">
        <is>
          <t>2026 value kept until final and official</t>
        </is>
      </c>
    </row>
    <row r="72" ht="25.5" customHeight="1" s="171">
      <c r="B72" s="212" t="inlineStr">
        <is>
          <t>State Pension €299.30 a week (€15,563.60)</t>
        </is>
      </c>
      <c r="C72" s="212" t="inlineStr">
        <is>
          <t>State_Pension_Week</t>
        </is>
      </c>
      <c r="D72" s="212" t="inlineStr">
        <is>
          <t>2026 value kept until final and official</t>
        </is>
      </c>
    </row>
    <row r="73" ht="25.5" customHeight="1" s="171">
      <c r="B73" s="212" t="inlineStr">
        <is>
          <t>Illness Benefit €254; survivor's pension €259.50 (&lt;66) / €299.30 (66+)</t>
        </is>
      </c>
      <c r="C73" s="212" t="inlineStr">
        <is>
          <t>Illness_Benefit_Week, Survivor_Pension_Week, Survivor_Pension_Week_66</t>
        </is>
      </c>
      <c r="D73" s="212" t="inlineStr">
        <is>
          <t>2026 value kept until final and official</t>
        </is>
      </c>
    </row>
    <row r="74" ht="25.5" customHeight="1" s="171">
      <c r="B74" s="212" t="inlineStr">
        <is>
          <t>Exit tax 38%, deemed disposal 8 years, DIRT 33%</t>
        </is>
      </c>
      <c r="C74" s="212" t="inlineStr">
        <is>
          <t>Exit_Tax, Deemed_Disposal_Years, DIRT</t>
        </is>
      </c>
      <c r="D74" s="212" t="inlineStr">
        <is>
          <t>2026 value kept until final and official</t>
        </is>
      </c>
    </row>
    <row r="75" ht="25.5" customHeight="1" s="171">
      <c r="B75" s="212" t="inlineStr">
        <is>
          <t>Pension relief bands, €115,000 cap, lump-sum bands, SFT (€2.4m in 2027)</t>
        </is>
      </c>
      <c r="C75" s="212" t="inlineStr">
        <is>
          <t>Relief_Age_From/Relief_Age_Pct, Relief_Earnings_Cap, Lump_Sum_*</t>
        </is>
      </c>
      <c r="D75" s="212" t="inlineStr">
        <is>
          <t>2026 value kept until final and official</t>
        </is>
      </c>
    </row>
    <row r="76" ht="25.5" customHeight="1" s="171">
      <c r="B76" s="212" t="inlineStr">
        <is>
          <t>Stamp duty 1% / 2% / 6%; Help to Buy €30,000; CBI 4× / 3.5× / 90%</t>
        </is>
      </c>
      <c r="C76" s="212" t="inlineStr">
        <is>
          <t>SD_*, LTI_FTB, LTI_SSB, LTV_Max</t>
        </is>
      </c>
      <c r="D76" s="212" t="inlineStr">
        <is>
          <t>2026 value kept until final and official</t>
        </is>
      </c>
    </row>
    <row r="77" ht="25.5" customHeight="1" s="171">
      <c r="B77" s="212" t="inlineStr">
        <is>
          <t>Inflation "Ireland now" 3.9% (CSO HICP flash Sep 2026)</t>
        </is>
      </c>
      <c r="C77" s="212" t="inlineStr">
        <is>
          <t>Guidance text on each inflation input and on this sheet</t>
        </is>
      </c>
      <c r="D77" s="212" t="inlineStr">
        <is>
          <t>Guidance text shows the latest CSO figure</t>
        </is>
      </c>
    </row>
    <row r="79" ht="15" customHeight="1" s="171">
      <c r="B79" s="261" t="inlineStr">
        <is>
          <t>Audit fixes applied</t>
        </is>
      </c>
    </row>
    <row r="80" ht="15" customHeight="1" s="171">
      <c r="B80" s="263" t="inlineStr">
        <is>
          <t>Where</t>
        </is>
      </c>
      <c r="C80" s="263" t="inlineStr">
        <is>
          <t>Audit class</t>
        </is>
      </c>
      <c r="D80" s="263" t="inlineStr">
        <is>
          <t>Item</t>
        </is>
      </c>
    </row>
    <row r="81" ht="12.75" customHeight="1" s="171">
      <c r="B81" s="185" t="inlineStr">
        <is>
          <t>C12</t>
        </is>
      </c>
      <c r="C81" s="255" t="inlineStr">
        <is>
          <t>Must</t>
        </is>
      </c>
      <c r="D81" s="265" t="inlineStr">
        <is>
          <t>Gap is like-for-like: target (today's money) − fund ÷ (1 + inflation)^years.</t>
        </is>
      </c>
    </row>
    <row r="82" ht="12.75" customHeight="1" s="171">
      <c r="B82" s="185" t="inlineStr">
        <is>
          <t>C12</t>
        </is>
      </c>
      <c r="C82" s="255" t="inlineStr">
        <is>
          <t>Must</t>
        </is>
      </c>
      <c r="D82" s="265" t="inlineStr">
        <is>
          <t>Hand-off updates the existing retirement goal (income, age) instead of a 25× lump-sum spend.</t>
        </is>
      </c>
    </row>
    <row r="83" ht="12.75" customHeight="1" s="171">
      <c r="B83" s="185" t="inlineStr">
        <is>
          <t>C02</t>
        </is>
      </c>
      <c r="C83" s="255" t="inlineStr">
        <is>
          <t>Must</t>
        </is>
      </c>
      <c r="D83" s="265" t="inlineStr">
        <is>
          <t>Hand-off is the deposit (loan × 10% ÷ 90%), not the mortgage amount.</t>
        </is>
      </c>
    </row>
    <row r="84" ht="25.5" customHeight="1" s="171">
      <c r="B84" s="185" t="inlineStr">
        <is>
          <t>C04</t>
        </is>
      </c>
      <c r="C84" s="255" t="inlineStr">
        <is>
          <t>Must</t>
        </is>
      </c>
      <c r="D84" s="265" t="inlineStr">
        <is>
          <t>Hand-off is a mortgage-free (mfree) goal, not today's balance as a spend; none if it never clears.</t>
        </is>
      </c>
    </row>
    <row r="85" ht="12.75" customHeight="1" s="171">
      <c r="B85" s="185" t="inlineStr">
        <is>
          <t>C04</t>
        </is>
      </c>
      <c r="C85" s="255" t="inlineStr">
        <is>
          <t>Must</t>
        </is>
      </c>
      <c r="D85" s="265" t="inlineStr">
        <is>
          <t>No "Infinity yrs" and no negative interest saved: "Not at this repayment" / "—".</t>
        </is>
      </c>
    </row>
    <row r="86" ht="25.5" customHeight="1" s="171">
      <c r="B86" s="185" t="inlineStr">
        <is>
          <t>C04, C27</t>
        </is>
      </c>
      <c r="C86" s="255" t="inlineStr">
        <is>
          <t>Must</t>
        </is>
      </c>
      <c r="D86" s="265" t="inlineStr">
        <is>
          <t>Exact months by NPER (no 1,200-month loop cap); over 1,200 months shows "Over 100 years" / "Payment too low…".</t>
        </is>
      </c>
    </row>
    <row r="87" ht="12.75" customHeight="1" s="171">
      <c r="B87" s="185" t="inlineStr">
        <is>
          <t>C09, C10</t>
        </is>
      </c>
      <c r="C87" s="255" t="inlineStr">
        <is>
          <t>Must</t>
        </is>
      </c>
      <c r="D87" s="265" t="inlineStr">
        <is>
          <t>Hand-off always in today's money (value ÷ (1 + inflation)^years), kind pot.</t>
        </is>
      </c>
    </row>
    <row r="88" ht="12.75" customHeight="1" s="171">
      <c r="B88" s="185" t="inlineStr">
        <is>
          <t>C13, C14</t>
        </is>
      </c>
      <c r="C88" s="255" t="inlineStr">
        <is>
          <t>Must</t>
        </is>
      </c>
      <c r="D88" s="265" t="inlineStr">
        <is>
          <t>No spend goal: raise the plan's pension contribution instead.</t>
        </is>
      </c>
    </row>
    <row r="89" ht="12.75" customHeight="1" s="171">
      <c r="B89" s="185" t="inlineStr">
        <is>
          <t>C18</t>
        </is>
      </c>
      <c r="C89" s="255" t="inlineStr">
        <is>
          <t>Must</t>
        </is>
      </c>
      <c r="D89" s="265" t="inlineStr">
        <is>
          <t>Hand-off in today's money, kind pot (was nominal, inflated twice).</t>
        </is>
      </c>
    </row>
    <row r="90" ht="12.75" customHeight="1" s="171">
      <c r="B90" s="185" t="inlineStr">
        <is>
          <t>C20</t>
        </is>
      </c>
      <c r="C90" s="255" t="inlineStr">
        <is>
          <t>Must</t>
        </is>
      </c>
      <c r="D90" s="265" t="inlineStr">
        <is>
          <t>Style is a 1/2/3 list (no decimals, no €NaN).</t>
        </is>
      </c>
    </row>
    <row r="91" ht="12.75" customHeight="1" s="171">
      <c r="B91" s="185" t="inlineStr">
        <is>
          <t>C21</t>
        </is>
      </c>
      <c r="C91" s="255" t="inlineStr">
        <is>
          <t>Must</t>
        </is>
      </c>
      <c r="D91" s="265" t="inlineStr">
        <is>
          <t>No spend goal: a protection need for the adviser.</t>
        </is>
      </c>
    </row>
    <row r="92" ht="12.75" customHeight="1" s="171">
      <c r="B92" s="185" t="inlineStr">
        <is>
          <t>C27</t>
        </is>
      </c>
      <c r="C92" s="255" t="inlineStr">
        <is>
          <t>Must</t>
        </is>
      </c>
      <c r="D92" s="265" t="inlineStr">
        <is>
          <t>No goal (the plan already repays the debt); no goal when it never clears.</t>
        </is>
      </c>
    </row>
    <row r="93" ht="12.75" customHeight="1" s="171">
      <c r="B93" s="185" t="inlineStr">
        <is>
          <t>C02, C05</t>
        </is>
      </c>
      <c r="C93" s="185" t="inlineStr">
        <is>
          <t>Should</t>
        </is>
      </c>
      <c r="D93" s="265" t="inlineStr">
        <is>
          <t>What-if rate floored at 0%.</t>
        </is>
      </c>
    </row>
    <row r="94" ht="12.75" customHeight="1" s="171">
      <c r="B94" s="185" t="inlineStr">
        <is>
          <t>C07</t>
        </is>
      </c>
      <c r="C94" s="185" t="inlineStr">
        <is>
          <t>Should</t>
        </is>
      </c>
      <c r="D94" s="265" t="inlineStr">
        <is>
          <t>Deposit validated between 10% of the price and the price; mortgage never negative.</t>
        </is>
      </c>
    </row>
    <row r="95" ht="12.75" customHeight="1" s="171">
      <c r="B95" s="185" t="inlineStr">
        <is>
          <t>C11, C22, C25</t>
        </is>
      </c>
      <c r="C95" s="185" t="inlineStr">
        <is>
          <t>Should</t>
        </is>
      </c>
      <c r="D95" s="265" t="inlineStr">
        <is>
          <t>Hand-off kinds corrected (safety pot; protection need; savings pot).</t>
        </is>
      </c>
    </row>
    <row r="96" ht="12.75" customHeight="1" s="171">
      <c r="B96" s="185" t="inlineStr">
        <is>
          <t>C15, C16</t>
        </is>
      </c>
      <c r="C96" s="185" t="inlineStr">
        <is>
          <t>Should</t>
        </is>
      </c>
      <c r="D96" s="265" t="inlineStr">
        <is>
          <t>Withdrawals taken at the start of each year.</t>
        </is>
      </c>
    </row>
    <row r="97" ht="25.5" customHeight="1" s="171">
      <c r="B97" s="185" t="inlineStr">
        <is>
          <t>C21</t>
        </is>
      </c>
      <c r="C97" s="185" t="inlineStr">
        <is>
          <t>Should</t>
        </is>
      </c>
      <c r="D97" s="265" t="inlineStr">
        <is>
          <t>Mortgage protection Yes/No (default Yes) and State survivor's pension (default €259.50 a week).</t>
        </is>
      </c>
    </row>
    <row r="98" ht="25.5" customHeight="1" s="171">
      <c r="B98" s="185" t="inlineStr">
        <is>
          <t>C22</t>
        </is>
      </c>
      <c r="C98" s="185" t="inlineStr">
        <is>
          <t>Should</t>
        </is>
      </c>
      <c r="D98" s="265" t="inlineStr">
        <is>
          <t>Illness Benefit (€254 a week) netted off; income protection capped at 75% of income less Illness Benefit.</t>
        </is>
      </c>
    </row>
    <row r="99" ht="12.75" customHeight="1" s="171">
      <c r="B99" s="185" t="inlineStr">
        <is>
          <t>C23</t>
        </is>
      </c>
      <c r="C99" s="185" t="inlineStr">
        <is>
          <t>Should</t>
        </is>
      </c>
      <c r="D99" s="265" t="inlineStr">
        <is>
          <t>Warning when the repayment does not cover the interest; no rising balances shown.</t>
        </is>
      </c>
    </row>
    <row r="100" ht="12.75" customHeight="1" s="171">
      <c r="B100" s="185" t="inlineStr">
        <is>
          <t>C27, C28</t>
        </is>
      </c>
      <c r="C100" s="185" t="inlineStr">
        <is>
          <t>Should</t>
        </is>
      </c>
      <c r="D100" s="265" t="inlineStr">
        <is>
          <t>APR treated as an effective annual rate: monthly = (1 + APR)^(1/12) − 1.</t>
        </is>
      </c>
    </row>
    <row r="101" ht="12.75" customHeight="1" s="171">
      <c r="B101" s="185" t="inlineStr">
        <is>
          <t>C08–C10, C17, C18</t>
        </is>
      </c>
      <c r="C101" s="185" t="inlineStr">
        <is>
          <t>Should</t>
        </is>
      </c>
      <c r="D101" s="265" t="inlineStr">
        <is>
          <t>"Before tax: DIRT 33% / exit tax 38%" note.</t>
        </is>
      </c>
    </row>
    <row r="102" ht="12.75" customHeight="1" s="171">
      <c r="B102" s="185" t="inlineStr">
        <is>
          <t>C01</t>
        </is>
      </c>
      <c r="C102" s="185" t="inlineStr">
        <is>
          <t>Nice</t>
        </is>
      </c>
      <c r="D102" s="265" t="inlineStr">
        <is>
          <t>First-time buyer is Yes/No.</t>
        </is>
      </c>
    </row>
    <row r="103" ht="12.75" customHeight="1" s="171">
      <c r="B103" s="185" t="inlineStr">
        <is>
          <t>C03, C15, C16 etc.</t>
        </is>
      </c>
      <c r="C103" s="185" t="inlineStr">
        <is>
          <t>Nice</t>
        </is>
      </c>
      <c r="D103" s="265" t="inlineStr">
        <is>
          <t>Singular forms ("1 month", "1 year"); "You have your deposit".</t>
        </is>
      </c>
    </row>
    <row r="104" ht="12.75" customHeight="1" s="171">
      <c r="B104" s="185" t="inlineStr">
        <is>
          <t>C04</t>
        </is>
      </c>
      <c r="C104" s="185" t="inlineStr">
        <is>
          <t>Nice</t>
        </is>
      </c>
      <c r="D104" s="265" t="inlineStr">
        <is>
          <t>"No change" when the time saved is 0.</t>
        </is>
      </c>
    </row>
    <row r="105" ht="12.75" customHeight="1" s="171">
      <c r="B105" s="185" t="inlineStr">
        <is>
          <t>C06</t>
        </is>
      </c>
      <c r="C105" s="185" t="inlineStr">
        <is>
          <t>Nice</t>
        </is>
      </c>
      <c r="D105" s="265" t="inlineStr">
        <is>
          <t>"Both terms are the same" for equal terms.</t>
        </is>
      </c>
    </row>
    <row r="106" ht="12.75" customHeight="1" s="171">
      <c r="B106" s="185" t="inlineStr">
        <is>
          <t>C08, C03</t>
        </is>
      </c>
      <c r="C106" s="185" t="inlineStr">
        <is>
          <t>Nice</t>
        </is>
      </c>
      <c r="D106" s="265" t="inlineStr">
        <is>
          <t>Hand-off passes "already saved".</t>
        </is>
      </c>
    </row>
    <row r="107" ht="12.75" customHeight="1" s="171">
      <c r="B107" s="185" t="inlineStr">
        <is>
          <t>C13, C14</t>
        </is>
      </c>
      <c r="C107" s="185" t="inlineStr">
        <is>
          <t>Nice</t>
        </is>
      </c>
      <c r="D107" s="265" t="inlineStr">
        <is>
          <t>Tax rate restricted to 20% or 40%.</t>
        </is>
      </c>
    </row>
    <row r="108" ht="12.75" customHeight="1" s="171">
      <c r="B108" s="185" t="inlineStr">
        <is>
          <t>C16</t>
        </is>
      </c>
      <c r="C108" s="185" t="inlineStr">
        <is>
          <t>Nice</t>
        </is>
      </c>
      <c r="D108" s="265" t="inlineStr">
        <is>
          <t>"60+ years" in every row at the end of the table.</t>
        </is>
      </c>
    </row>
    <row r="109" ht="12.75" customHeight="1" s="171">
      <c r="B109" s="185" t="inlineStr">
        <is>
          <t>C25</t>
        </is>
      </c>
      <c r="C109" s="185" t="inlineStr">
        <is>
          <t>Nice</t>
        </is>
      </c>
      <c r="D109" s="265" t="inlineStr">
        <is>
          <t>€0 surplus reads "Nothing left over this month".</t>
        </is>
      </c>
    </row>
    <row r="110" ht="25.5" customHeight="1" s="171">
      <c r="B110" s="185" t="inlineStr">
        <is>
          <t>Assumptions</t>
        </is>
      </c>
      <c r="C110" s="185" t="inlineStr">
        <is>
          <t>Nice</t>
        </is>
      </c>
      <c r="D110" s="265" t="inlineStr">
        <is>
          <t>Constants added for the fixes (DIRT, exit tax, Illness Benefit, survivor's pension); inflation reference refreshed (3.4% Aug 2026).</t>
        </is>
      </c>
    </row>
    <row r="112" ht="15" customHeight="1" s="171">
      <c r="B112" s="261" t="inlineStr">
        <is>
          <t>Not applied (for Pooja to decide)</t>
        </is>
      </c>
    </row>
    <row r="113" ht="15" customHeight="1" s="171">
      <c r="B113" s="263" t="inlineStr">
        <is>
          <t>Where</t>
        </is>
      </c>
      <c r="C113" s="263" t="inlineStr">
        <is>
          <t>Audit class</t>
        </is>
      </c>
      <c r="D113" s="263" t="inlineStr">
        <is>
          <t>Item</t>
        </is>
      </c>
    </row>
    <row r="114" ht="51.75" customHeight="1" s="171">
      <c r="B114" s="185" t="inlineStr">
        <is>
          <t>All calculators</t>
        </is>
      </c>
      <c r="C114" s="185" t="inlineStr">
        <is>
          <t>Journey spec §14</t>
        </is>
      </c>
      <c r="D114" s="265"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5" t="inlineStr">
        <is>
          <t>C11, C15, C22, C13</t>
        </is>
      </c>
      <c r="C115" s="185" t="inlineStr">
        <is>
          <t>UI/UX Appendix B</t>
        </is>
      </c>
      <c r="D115" s="265" t="inlineStr">
        <is>
          <t>Singular "1 month"; C15 at the 60-year cap reads "Beyond [plan-until age] (your plan-until age)", as the prototype (not "age 126"); C13/C14 show the relief room left after what you already pay in.</t>
        </is>
      </c>
    </row>
    <row r="116" ht="25.5" customHeight="1" s="171">
      <c r="B116" s="185" t="inlineStr">
        <is>
          <t>C01</t>
        </is>
      </c>
      <c r="C116" s="185" t="inlineStr">
        <is>
          <t>Should</t>
        </is>
      </c>
      <c r="D116" s="265" t="inlineStr">
        <is>
          <t>Remove the placeholder "[confirm current Central Bank rules]" from the customer line (prototype copy; the workbook uses the audit's replacement wording).</t>
        </is>
      </c>
    </row>
    <row r="117" ht="12.75" customHeight="1" s="171">
      <c r="B117" s="185" t="inlineStr">
        <is>
          <t>C01, C03</t>
        </is>
      </c>
      <c r="C117" s="185" t="inlineStr">
        <is>
          <t>Nice</t>
        </is>
      </c>
      <c r="D117" s="265" t="inlineStr">
        <is>
          <t>Help to Buy as an optional deposit input (rules audit #62).</t>
        </is>
      </c>
    </row>
    <row r="118" ht="12.75" customHeight="1" s="171">
      <c r="B118" s="185" t="inlineStr">
        <is>
          <t>C02</t>
        </is>
      </c>
      <c r="C118" s="185" t="inlineStr">
        <is>
          <t>Nice</t>
        </is>
      </c>
      <c r="D118" s="265" t="inlineStr">
        <is>
          <t>Use "−" (not "-") in the rate text (prototype copy).</t>
        </is>
      </c>
    </row>
    <row r="119" ht="12.75" customHeight="1" s="171">
      <c r="B119" s="185" t="inlineStr">
        <is>
          <t>C03</t>
        </is>
      </c>
      <c r="C119" s="185" t="inlineStr">
        <is>
          <t>Should</t>
        </is>
      </c>
      <c r="D119" s="265" t="inlineStr">
        <is>
          <t>House prices rising while saving (stamp duty and fees are now included).</t>
        </is>
      </c>
    </row>
    <row r="120" ht="12.75" customHeight="1" s="171">
      <c r="B120" s="185" t="inlineStr">
        <is>
          <t>C07</t>
        </is>
      </c>
      <c r="C120" s="185" t="inlineStr">
        <is>
          <t>Nice</t>
        </is>
      </c>
      <c r="D120" s="265" t="inlineStr">
        <is>
          <t>Local Property Tax and insurance in the cost of owning (rules audit #63).</t>
        </is>
      </c>
    </row>
    <row r="121" ht="25.5" customHeight="1" s="171">
      <c r="B121" s="185" t="inlineStr">
        <is>
          <t>C08–C10, C18</t>
        </is>
      </c>
      <c r="C121" s="185" t="inlineStr">
        <is>
          <t>Should</t>
        </is>
      </c>
      <c r="D121" s="265" t="inlineStr">
        <is>
          <t>An after-tax result row (DIRT 33% / exit tax 38% with deemed disposal). Only the "before tax" note is applied.</t>
        </is>
      </c>
    </row>
    <row r="122" ht="12.75" customHeight="1" s="171">
      <c r="B122" s="185" t="inlineStr">
        <is>
          <t>C10</t>
        </is>
      </c>
      <c r="C122" s="185" t="inlineStr">
        <is>
          <t>Nice</t>
        </is>
      </c>
      <c r="D122" s="265" t="inlineStr">
        <is>
          <t>Hide "start later" when the term is no longer than the wait.</t>
        </is>
      </c>
    </row>
    <row r="123" ht="12.75" customHeight="1" s="171">
      <c r="B123" s="185" t="inlineStr">
        <is>
          <t>C11</t>
        </is>
      </c>
      <c r="C123" s="185" t="inlineStr">
        <is>
          <t>Nice</t>
        </is>
      </c>
      <c r="D123" s="265" t="inlineStr">
        <is>
          <t>Tip copy: "Often 3 to 6 months" instead of "Ideal: 6 months" (prototype copy).</t>
        </is>
      </c>
    </row>
    <row r="124" ht="12.75" customHeight="1" s="171">
      <c r="B124" s="185" t="inlineStr">
        <is>
          <t>C12</t>
        </is>
      </c>
      <c r="C124" s="185" t="inlineStr">
        <is>
          <t>Should</t>
        </is>
      </c>
      <c r="D124" s="265" t="inlineStr">
        <is>
          <t>Gross up the desired income for tax (a "before tax" note is applied instead).</t>
        </is>
      </c>
    </row>
    <row r="125" ht="12.75" customHeight="1" s="171">
      <c r="B125" s="185" t="inlineStr">
        <is>
          <t>C13</t>
        </is>
      </c>
      <c r="C125" s="185" t="inlineStr">
        <is>
          <t>Should</t>
        </is>
      </c>
      <c r="D125" s="265" t="inlineStr">
        <is>
          <t>Contributions rising with pay (as C12): €70,503, not €54,572, at defaults.</t>
        </is>
      </c>
    </row>
    <row r="126" ht="12.75" customHeight="1" s="171">
      <c r="B126" s="185" t="inlineStr">
        <is>
          <t>C15</t>
        </is>
      </c>
      <c r="C126" s="185" t="inlineStr">
        <is>
          <t>Nice</t>
        </is>
      </c>
      <c r="D126" s="265" t="inlineStr">
        <is>
          <t>ARF imputed distribution hint (4% from 61, 5% from 71, 6% over €2m).</t>
        </is>
      </c>
    </row>
    <row r="127" ht="12.75" customHeight="1" s="171">
      <c r="B127" s="185" t="inlineStr">
        <is>
          <t>C20</t>
        </is>
      </c>
      <c r="C127" s="185" t="inlineStr">
        <is>
          <t>Should</t>
        </is>
      </c>
      <c r="D127" s="265" t="inlineStr">
        <is>
          <t>Treat the growth rates as median (geometric) returns.</t>
        </is>
      </c>
    </row>
    <row r="128" ht="25.5" customHeight="1" s="171">
      <c r="B128" s="185" t="inlineStr">
        <is>
          <t>C21</t>
        </is>
      </c>
      <c r="C128" s="185" t="inlineStr">
        <is>
          <t>Nice</t>
        </is>
      </c>
      <c r="D128" s="265" t="inlineStr">
        <is>
          <t>Discount the income need; funeral costs and CAT; a survivor's-age switch (the guidance gives the 66+ rate).</t>
        </is>
      </c>
    </row>
    <row r="129" ht="25.5" customHeight="1" s="171">
      <c r="B129" s="185" t="inlineStr">
        <is>
          <t>C22</t>
        </is>
      </c>
      <c r="C129" s="185" t="inlineStr">
        <is>
          <t>Nice</t>
        </is>
      </c>
      <c r="D129" s="265" t="inlineStr">
        <is>
          <t>Explain statutory sick pay (5 days) vs the employer's scheme (a short note is in How it works).</t>
        </is>
      </c>
    </row>
    <row r="130" ht="12.75" customHeight="1" s="171">
      <c r="B130" s="185" t="inlineStr">
        <is>
          <t>C23</t>
        </is>
      </c>
      <c r="C130" s="185" t="inlineStr">
        <is>
          <t>Nice</t>
        </is>
      </c>
      <c r="D130" s="265" t="inlineStr">
        <is>
          <t>Note joint-life / dual-life cover and the insurer's assumed reduction rate.</t>
        </is>
      </c>
    </row>
    <row r="131" ht="12.75" customHeight="1" s="171">
      <c r="B131" s="185" t="inlineStr">
        <is>
          <t>C25, C26</t>
        </is>
      </c>
      <c r="C131" s="185" t="inlineStr">
        <is>
          <t>Nice</t>
        </is>
      </c>
      <c r="D131" s="265" t="inlineStr">
        <is>
          <t>Round the take-home pre-fill to whole euros (prototype).</t>
        </is>
      </c>
    </row>
    <row r="132" ht="64.5" customHeight="1" s="171">
      <c r="B132" s="185" t="inlineStr">
        <is>
          <t>Copy</t>
        </is>
      </c>
      <c r="C132" s="185" t="inlineStr">
        <is>
          <t>Nice</t>
        </is>
      </c>
      <c r="D132" s="265" t="inlineStr">
        <is>
          <t>Fix the "29 calculators" note (there are 28).</t>
        </is>
      </c>
    </row>
    <row r="133" ht="12.75" customHeight="1" s="171">
      <c r="B133" s="185" t="n"/>
      <c r="C133" s="185" t="n"/>
      <c r="D133" s="265" t="n"/>
    </row>
    <row r="135" ht="15" customHeight="1" s="171">
      <c r="B135" s="261" t="inlineStr">
        <is>
          <t>Plan sheets and the Calculation register</t>
        </is>
      </c>
    </row>
    <row r="136" ht="15" customHeight="1" s="171">
      <c r="C136" s="264" t="inlineStr">
        <is>
          <t>Plan inputs</t>
        </is>
      </c>
      <c r="D136" s="170" t="inlineStr">
        <is>
          <t>Everything you type for the plan: about you, goals, finances, assumptions, what-if.</t>
        </is>
      </c>
    </row>
    <row r="137" ht="15" customHeight="1" s="171">
      <c r="C137" s="264" t="inlineStr">
        <is>
          <t>Plan pay &amp; tax</t>
        </is>
      </c>
      <c r="D137" s="170" t="inlineStr">
        <is>
          <t>Law figures (read from Assumptions), the figures the plan uses, and each year's pay, pension and tax.</t>
        </is>
      </c>
    </row>
    <row r="138" ht="15" customHeight="1" s="171">
      <c r="C138" s="264" t="inlineStr">
        <is>
          <t>Plan debt months</t>
        </is>
      </c>
      <c r="D138" s="170" t="inlineStr">
        <is>
          <t>Mortgage, cards and loans month by month.</t>
        </is>
      </c>
    </row>
    <row r="139" ht="15" customHeight="1" s="171">
      <c r="C139" s="264" t="inlineStr">
        <is>
          <t>Plan cashflow</t>
        </is>
      </c>
      <c r="D139" s="170" t="inlineStr">
        <is>
          <t>One row per year: money in, spending, goals, saving, savings left.</t>
        </is>
      </c>
    </row>
    <row r="140" ht="15" customHeight="1" s="171">
      <c r="C140" s="264" t="inlineStr">
        <is>
          <t>Plan goals</t>
        </is>
      </c>
      <c r="D140" s="170" t="inlineStr">
        <is>
          <t>Goals in funding order, each goal's % covered, band and goal line.</t>
        </is>
      </c>
    </row>
    <row r="141" ht="15" customHeight="1" s="171">
      <c r="C141" s="264" t="inlineStr">
        <is>
          <t>Plan results</t>
        </is>
      </c>
      <c r="D141" s="170" t="inlineStr">
        <is>
          <t>What the Results, Home and Plan screens show: saving, gate, findings, foundations, retirement at a glance, road and chart numbers.</t>
        </is>
      </c>
    </row>
    <row r="142" ht="15" customHeight="1" s="171">
      <c r="C142" s="264" t="inlineStr">
        <is>
          <t>Plan profile</t>
        </is>
      </c>
      <c r="D142" s="170" t="inlineStr">
        <is>
          <t>Money personality, risk profile and money terms from the Discover and Understand Me answers.</t>
        </is>
      </c>
    </row>
    <row r="143" ht="15" customHeight="1" s="171">
      <c r="C143" s="264" t="inlineStr">
        <is>
          <t>Plan how it works</t>
        </is>
      </c>
      <c r="D143" s="170" t="inlineStr">
        <is>
          <t>One paragraph per sheet, and which prototype value each Plan input is.</t>
        </is>
      </c>
    </row>
    <row r="144" ht="15" customHeight="1" s="171">
      <c r="C144" s="264" t="inlineStr">
        <is>
          <t>Calculation register</t>
        </is>
      </c>
      <c r="D144" s="170" t="inlineStr">
        <is>
          <t>Every place the prototype calculates, scores or shows a number, where it is in the workbook, and whether it was matched in a test.</t>
        </is>
      </c>
    </row>
    <row r="145" ht="15" customHeight="1" s="171">
      <c r="B145" s="193"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1" t="inlineStr">
        <is>
          <t>Other sheets</t>
        </is>
      </c>
    </row>
    <row r="148" ht="15" customHeight="1" s="171">
      <c r="C148" s="264" t="inlineStr">
        <is>
          <t>Settings</t>
        </is>
      </c>
      <c r="D148" s="170" t="inlineStr">
        <is>
          <t>Every standard LifeMap offers, with its wording and source, in one block (the Plan sheets read it too).</t>
        </is>
      </c>
    </row>
    <row r="149" ht="15" customHeight="1" s="171">
      <c r="C149" s="264" t="inlineStr">
        <is>
          <t>Your lists</t>
        </is>
      </c>
      <c r="D149" s="170" t="inlineStr">
        <is>
          <t>Cards, loans, pensions and mortgages on other properties, one row each (they win over a typed total).</t>
        </is>
      </c>
    </row>
    <row r="150" ht="15" customHeight="1" s="171">
      <c r="C150" s="264" t="inlineStr">
        <is>
          <t>UI Guide</t>
        </is>
      </c>
      <c r="D150" s="170" t="inlineStr">
        <is>
          <t>The UI layer (teal tabs), sheet 1: how to read the other three. Appended by tools/build_ui_sheets.py.</t>
        </is>
      </c>
    </row>
    <row r="151" ht="15" customHeight="1" s="171">
      <c r="C151" s="264" t="inlineStr">
        <is>
          <t>UI Calculators</t>
        </is>
      </c>
      <c r="D151" s="170" t="inlineStr">
        <is>
          <t>Every calculator screen as the app shows it: labels, ranges, chips and results. Appended by tools/build_ui_sheets.py.</t>
        </is>
      </c>
    </row>
    <row r="152" ht="15" customHeight="1" s="171">
      <c r="C152" s="264" t="inlineStr">
        <is>
          <t>UI Screens</t>
        </is>
      </c>
      <c r="D152" s="170" t="inlineStr">
        <is>
          <t>The app screens, in the app's words. Appended by tools/build_ui_sheets.py.</t>
        </is>
      </c>
    </row>
    <row r="153" ht="15" customHeight="1" s="171">
      <c r="C153" s="264"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94:E94"/>
    <mergeCell ref="D130:E130"/>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2026-10-21T15:24:32Z</dcterms:modified>
  <cp:revision>0</cp:revision>
</cp:coreProperties>
</file>